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志益小工具\代課費計算系統\代課費計算系統\"/>
    </mc:Choice>
  </mc:AlternateContent>
  <xr:revisionPtr revIDLastSave="0" documentId="13_ncr:1_{11D26742-42AE-4281-935E-5856316CC9BB}" xr6:coauthVersionLast="47" xr6:coauthVersionMax="47" xr10:uidLastSave="{00000000-0000-0000-0000-000000000000}"/>
  <bookViews>
    <workbookView xWindow="-108" yWindow="-108" windowWidth="23256" windowHeight="12456" firstSheet="17" activeTab="17" xr2:uid="{00000000-000D-0000-FFFF-FFFF00000000}"/>
  </bookViews>
  <sheets>
    <sheet name="108.4" sheetId="2" state="hidden" r:id="rId1"/>
    <sheet name="108.5" sheetId="3" state="hidden" r:id="rId2"/>
    <sheet name="108.6" sheetId="4" state="hidden" r:id="rId3"/>
    <sheet name="108.9" sheetId="5" state="hidden" r:id="rId4"/>
    <sheet name="108.10" sheetId="6" state="hidden" r:id="rId5"/>
    <sheet name="108.11" sheetId="7" state="hidden" r:id="rId6"/>
    <sheet name="108.12" sheetId="8" state="hidden" r:id="rId7"/>
    <sheet name="109.1" sheetId="9" state="hidden" r:id="rId8"/>
    <sheet name="109.4" sheetId="10" state="hidden" r:id="rId9"/>
    <sheet name="109.5" sheetId="11" state="hidden" r:id="rId10"/>
    <sheet name="109.6" sheetId="12" state="hidden" r:id="rId11"/>
    <sheet name="109.7" sheetId="13" state="hidden" r:id="rId12"/>
    <sheet name="109.09" sheetId="18" state="hidden" r:id="rId13"/>
    <sheet name="109.10" sheetId="15" state="hidden" r:id="rId14"/>
    <sheet name="109.12" sheetId="16" state="hidden" r:id="rId15"/>
    <sheet name="110.01" sheetId="17" state="hidden" r:id="rId16"/>
    <sheet name="110.03" sheetId="19" state="hidden" r:id="rId17"/>
    <sheet name="11405 日代 印領" sheetId="68" r:id="rId18"/>
    <sheet name="11506" sheetId="78" r:id="rId19"/>
  </sheets>
  <definedNames>
    <definedName name="_xlnm.Print_Area" localSheetId="17">'11405 日代 印領'!$A$1:$N$12</definedName>
    <definedName name="_xlnm.Print_Area" localSheetId="18">'11506'!$A$1:$N$24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78" l="1"/>
  <c r="M13" i="78" s="1"/>
  <c r="D7" i="78"/>
  <c r="M7" i="78" s="1"/>
  <c r="D16" i="78"/>
  <c r="H16" i="78" s="1"/>
  <c r="D17" i="78"/>
  <c r="M17" i="78" s="1"/>
  <c r="D15" i="78"/>
  <c r="H15" i="78" s="1"/>
  <c r="I15" i="78" s="1"/>
  <c r="D14" i="78"/>
  <c r="M14" i="78" s="1"/>
  <c r="D12" i="78"/>
  <c r="M12" i="78" s="1"/>
  <c r="D11" i="78"/>
  <c r="H11" i="78" s="1"/>
  <c r="I11" i="78" s="1"/>
  <c r="D10" i="78"/>
  <c r="M10" i="78" s="1"/>
  <c r="D9" i="78"/>
  <c r="H9" i="78" s="1"/>
  <c r="D8" i="78"/>
  <c r="M8" i="78" s="1"/>
  <c r="D6" i="78"/>
  <c r="H6" i="78" s="1"/>
  <c r="D5" i="78"/>
  <c r="H5" i="78" s="1"/>
  <c r="I5" i="78" s="1"/>
  <c r="D4" i="78"/>
  <c r="M4" i="78" s="1"/>
  <c r="D4" i="68"/>
  <c r="M7" i="68"/>
  <c r="D7" i="68"/>
  <c r="B7" i="68"/>
  <c r="M4" i="68"/>
  <c r="H4" i="68"/>
  <c r="I4" i="68" s="1"/>
  <c r="H13" i="78" l="1"/>
  <c r="I13" i="78" s="1"/>
  <c r="H7" i="78"/>
  <c r="I7" i="78" s="1"/>
  <c r="M16" i="78"/>
  <c r="I16" i="78"/>
  <c r="M5" i="78"/>
  <c r="M15" i="78"/>
  <c r="M11" i="78"/>
  <c r="D18" i="78"/>
  <c r="M18" i="78" s="1"/>
  <c r="H4" i="78"/>
  <c r="I4" i="78" s="1"/>
  <c r="H8" i="78"/>
  <c r="I8" i="78" s="1"/>
  <c r="H10" i="78"/>
  <c r="I10" i="78" s="1"/>
  <c r="H14" i="78"/>
  <c r="I14" i="78" s="1"/>
  <c r="H17" i="78"/>
  <c r="I17" i="78" s="1"/>
  <c r="I6" i="78"/>
  <c r="H12" i="78"/>
  <c r="I12" i="78" s="1"/>
  <c r="I9" i="78"/>
  <c r="M6" i="78"/>
  <c r="M9" i="78"/>
  <c r="H7" i="68"/>
  <c r="I7" i="68" s="1"/>
  <c r="H18" i="78" l="1"/>
  <c r="I18" i="78" s="1"/>
  <c r="F4" i="13" l="1"/>
  <c r="F5" i="11" l="1"/>
  <c r="F4" i="10" l="1"/>
  <c r="F8" i="9" l="1"/>
  <c r="F15" i="8" l="1"/>
  <c r="D32" i="7" l="1"/>
  <c r="F13" i="7"/>
  <c r="F7" i="6" l="1"/>
  <c r="F6" i="5"/>
  <c r="F14" i="4" l="1"/>
  <c r="F9" i="3" l="1"/>
  <c r="D22" i="3"/>
  <c r="C22" i="3"/>
  <c r="D22" i="2" l="1"/>
  <c r="C22" i="2"/>
  <c r="F8" i="2"/>
</calcChain>
</file>

<file path=xl/sharedStrings.xml><?xml version="1.0" encoding="utf-8"?>
<sst xmlns="http://schemas.openxmlformats.org/spreadsheetml/2006/main" count="1165" uniqueCount="504">
  <si>
    <t>教師姓名</t>
    <phoneticPr fontId="3" type="noConversion"/>
  </si>
  <si>
    <t>日期</t>
    <phoneticPr fontId="3" type="noConversion"/>
  </si>
  <si>
    <t>星期</t>
    <phoneticPr fontId="3" type="noConversion"/>
  </si>
  <si>
    <t>日數/鐘點</t>
    <phoneticPr fontId="3" type="noConversion"/>
  </si>
  <si>
    <t>節次</t>
    <phoneticPr fontId="3" type="noConversion"/>
  </si>
  <si>
    <t>節數</t>
    <phoneticPr fontId="3" type="noConversion"/>
  </si>
  <si>
    <t>假別</t>
    <phoneticPr fontId="3" type="noConversion"/>
  </si>
  <si>
    <t>備註(文號)</t>
    <phoneticPr fontId="3" type="noConversion"/>
  </si>
  <si>
    <t>代課老師</t>
    <phoneticPr fontId="3" type="noConversion"/>
  </si>
  <si>
    <t>公</t>
    <phoneticPr fontId="2" type="noConversion"/>
  </si>
  <si>
    <t>蔡志益</t>
    <phoneticPr fontId="2" type="noConversion"/>
  </si>
  <si>
    <t>楊婉瑄</t>
    <phoneticPr fontId="2" type="noConversion"/>
  </si>
  <si>
    <t>四</t>
    <phoneticPr fontId="2" type="noConversion"/>
  </si>
  <si>
    <t>黃加淳</t>
    <phoneticPr fontId="2" type="noConversion"/>
  </si>
  <si>
    <t>合計</t>
    <phoneticPr fontId="3" type="noConversion"/>
  </si>
  <si>
    <t>教務組長</t>
    <phoneticPr fontId="3" type="noConversion"/>
  </si>
  <si>
    <t>教務主任</t>
    <phoneticPr fontId="2" type="noConversion"/>
  </si>
  <si>
    <t>校長</t>
    <phoneticPr fontId="3" type="noConversion"/>
  </si>
  <si>
    <t>代課教師</t>
    <phoneticPr fontId="3" type="noConversion"/>
  </si>
  <si>
    <t>公假</t>
    <phoneticPr fontId="2" type="noConversion"/>
  </si>
  <si>
    <t>合計全日</t>
    <phoneticPr fontId="3" type="noConversion"/>
  </si>
  <si>
    <t>合計鐘點</t>
    <phoneticPr fontId="3" type="noConversion"/>
  </si>
  <si>
    <t>金額合計</t>
    <phoneticPr fontId="3" type="noConversion"/>
  </si>
  <si>
    <t>備註</t>
    <phoneticPr fontId="3" type="noConversion"/>
  </si>
  <si>
    <t>小計</t>
    <phoneticPr fontId="3" type="noConversion"/>
  </si>
  <si>
    <t>教務組長</t>
    <phoneticPr fontId="3" type="noConversion"/>
  </si>
  <si>
    <t>校長</t>
    <phoneticPr fontId="2" type="noConversion"/>
  </si>
  <si>
    <t>黃敬芸</t>
    <phoneticPr fontId="2" type="noConversion"/>
  </si>
  <si>
    <t>三</t>
    <phoneticPr fontId="2" type="noConversion"/>
  </si>
  <si>
    <t>李瑜華</t>
    <phoneticPr fontId="2" type="noConversion"/>
  </si>
  <si>
    <t>五</t>
    <phoneticPr fontId="2" type="noConversion"/>
  </si>
  <si>
    <t>黃博盟</t>
    <phoneticPr fontId="2" type="noConversion"/>
  </si>
  <si>
    <t>公</t>
    <phoneticPr fontId="2" type="noConversion"/>
  </si>
  <si>
    <t>陳怡嘉</t>
    <phoneticPr fontId="2" type="noConversion"/>
  </si>
  <si>
    <t>一</t>
    <phoneticPr fontId="2" type="noConversion"/>
  </si>
  <si>
    <t>1日</t>
    <phoneticPr fontId="2" type="noConversion"/>
  </si>
  <si>
    <t>喪</t>
    <phoneticPr fontId="2" type="noConversion"/>
  </si>
  <si>
    <t>二</t>
    <phoneticPr fontId="2" type="noConversion"/>
  </si>
  <si>
    <t>1日</t>
    <phoneticPr fontId="2" type="noConversion"/>
  </si>
  <si>
    <t>蔡志益</t>
    <phoneticPr fontId="2" type="noConversion"/>
  </si>
  <si>
    <t>2節</t>
    <phoneticPr fontId="2" type="noConversion"/>
  </si>
  <si>
    <t>代課一覽表(108/4/01至108/4/30)</t>
    <phoneticPr fontId="3" type="noConversion"/>
  </si>
  <si>
    <t>4/23</t>
    <phoneticPr fontId="2" type="noConversion"/>
  </si>
  <si>
    <t>1日</t>
    <phoneticPr fontId="2" type="noConversion"/>
  </si>
  <si>
    <t>1080020909</t>
    <phoneticPr fontId="2" type="noConversion"/>
  </si>
  <si>
    <t>孫寧穗</t>
    <phoneticPr fontId="2" type="noConversion"/>
  </si>
  <si>
    <t>孫寧穗</t>
    <phoneticPr fontId="2" type="noConversion"/>
  </si>
  <si>
    <t>4/30</t>
    <phoneticPr fontId="2" type="noConversion"/>
  </si>
  <si>
    <t>二</t>
    <phoneticPr fontId="2" type="noConversion"/>
  </si>
  <si>
    <t>3節</t>
    <phoneticPr fontId="2" type="noConversion"/>
  </si>
  <si>
    <t>1-3</t>
    <phoneticPr fontId="2" type="noConversion"/>
  </si>
  <si>
    <t>公</t>
    <phoneticPr fontId="2" type="noConversion"/>
  </si>
  <si>
    <t>鐵馬安偏鄉素養共學活動</t>
    <phoneticPr fontId="2" type="noConversion"/>
  </si>
  <si>
    <t>黃加淳</t>
    <phoneticPr fontId="2" type="noConversion"/>
  </si>
  <si>
    <t>4/30</t>
    <phoneticPr fontId="2" type="noConversion"/>
  </si>
  <si>
    <t>二</t>
    <phoneticPr fontId="2" type="noConversion"/>
  </si>
  <si>
    <t>1節</t>
    <phoneticPr fontId="2" type="noConversion"/>
  </si>
  <si>
    <t>2</t>
    <phoneticPr fontId="2" type="noConversion"/>
  </si>
  <si>
    <t>魏瑋婷</t>
    <phoneticPr fontId="2" type="noConversion"/>
  </si>
  <si>
    <t>陳嘉幸</t>
    <phoneticPr fontId="2" type="noConversion"/>
  </si>
  <si>
    <t>李瑜華</t>
    <phoneticPr fontId="2" type="noConversion"/>
  </si>
  <si>
    <t>鍾劭謙</t>
    <phoneticPr fontId="2" type="noConversion"/>
  </si>
  <si>
    <t>林慧芸</t>
    <phoneticPr fontId="2" type="noConversion"/>
  </si>
  <si>
    <t>4/30</t>
    <phoneticPr fontId="2" type="noConversion"/>
  </si>
  <si>
    <t>4/30</t>
    <phoneticPr fontId="2" type="noConversion"/>
  </si>
  <si>
    <t>二</t>
    <phoneticPr fontId="2" type="noConversion"/>
  </si>
  <si>
    <t>二</t>
    <phoneticPr fontId="2" type="noConversion"/>
  </si>
  <si>
    <t>陳妍諠</t>
    <phoneticPr fontId="2" type="noConversion"/>
  </si>
  <si>
    <t>1、3</t>
    <phoneticPr fontId="2" type="noConversion"/>
  </si>
  <si>
    <t>公</t>
    <phoneticPr fontId="2" type="noConversion"/>
  </si>
  <si>
    <t>2節</t>
    <phoneticPr fontId="2" type="noConversion"/>
  </si>
  <si>
    <t>1-2</t>
    <phoneticPr fontId="2" type="noConversion"/>
  </si>
  <si>
    <t>黃加淳</t>
    <phoneticPr fontId="2" type="noConversion"/>
  </si>
  <si>
    <t>陳嘉幸</t>
    <phoneticPr fontId="2" type="noConversion"/>
  </si>
  <si>
    <t>李瑜華</t>
    <phoneticPr fontId="2" type="noConversion"/>
  </si>
  <si>
    <t>陳妍諠</t>
    <phoneticPr fontId="2" type="noConversion"/>
  </si>
  <si>
    <t>馬鳴國小代課費領款計算表
(108/4/01至108/4/30)</t>
    <phoneticPr fontId="3" type="noConversion"/>
  </si>
  <si>
    <t>代課一覽表(108/5/01至108/5/31)</t>
    <phoneticPr fontId="3" type="noConversion"/>
  </si>
  <si>
    <t>楊君頤</t>
    <phoneticPr fontId="2" type="noConversion"/>
  </si>
  <si>
    <t>5/3</t>
    <phoneticPr fontId="2" type="noConversion"/>
  </si>
  <si>
    <t>五</t>
    <phoneticPr fontId="2" type="noConversion"/>
  </si>
  <si>
    <t>1節</t>
    <phoneticPr fontId="2" type="noConversion"/>
  </si>
  <si>
    <t>2</t>
    <phoneticPr fontId="2" type="noConversion"/>
  </si>
  <si>
    <t>1080019834</t>
    <phoneticPr fontId="2" type="noConversion"/>
  </si>
  <si>
    <t>蔡志益</t>
    <phoneticPr fontId="2" type="noConversion"/>
  </si>
  <si>
    <t>黃敬芸</t>
    <phoneticPr fontId="2" type="noConversion"/>
  </si>
  <si>
    <t>5/13</t>
    <phoneticPr fontId="2" type="noConversion"/>
  </si>
  <si>
    <t>一</t>
    <phoneticPr fontId="2" type="noConversion"/>
  </si>
  <si>
    <t>0.5日</t>
    <phoneticPr fontId="2" type="noConversion"/>
  </si>
  <si>
    <t>1080036797</t>
    <phoneticPr fontId="2" type="noConversion"/>
  </si>
  <si>
    <t>李瑜華</t>
    <phoneticPr fontId="2" type="noConversion"/>
  </si>
  <si>
    <t>5/14</t>
  </si>
  <si>
    <t>1080036797</t>
    <phoneticPr fontId="2" type="noConversion"/>
  </si>
  <si>
    <t>戴綿綿</t>
    <phoneticPr fontId="2" type="noConversion"/>
  </si>
  <si>
    <t>5/16</t>
    <phoneticPr fontId="2" type="noConversion"/>
  </si>
  <si>
    <t>四</t>
    <phoneticPr fontId="2" type="noConversion"/>
  </si>
  <si>
    <t>3-4</t>
    <phoneticPr fontId="2" type="noConversion"/>
  </si>
  <si>
    <t>1080045845</t>
    <phoneticPr fontId="2" type="noConversion"/>
  </si>
  <si>
    <t>5/21</t>
    <phoneticPr fontId="2" type="noConversion"/>
  </si>
  <si>
    <t>1-2</t>
    <phoneticPr fontId="2" type="noConversion"/>
  </si>
  <si>
    <t>1080040249</t>
    <phoneticPr fontId="2" type="noConversion"/>
  </si>
  <si>
    <t>陳怡嘉</t>
    <phoneticPr fontId="2" type="noConversion"/>
  </si>
  <si>
    <t>蔡志益</t>
    <phoneticPr fontId="2" type="noConversion"/>
  </si>
  <si>
    <t>魏瑋婷</t>
    <phoneticPr fontId="2" type="noConversion"/>
  </si>
  <si>
    <t>5/28</t>
    <phoneticPr fontId="2" type="noConversion"/>
  </si>
  <si>
    <t>二</t>
    <phoneticPr fontId="2" type="noConversion"/>
  </si>
  <si>
    <t>2節</t>
    <phoneticPr fontId="2" type="noConversion"/>
  </si>
  <si>
    <t>1-2</t>
    <phoneticPr fontId="2" type="noConversion"/>
  </si>
  <si>
    <t>1080044317</t>
    <phoneticPr fontId="2" type="noConversion"/>
  </si>
  <si>
    <t>陳怡嘉/王秋棉</t>
    <phoneticPr fontId="2" type="noConversion"/>
  </si>
  <si>
    <t>馬鳴國小代課費領款計算表
(108/5/01至108/5/31)</t>
    <phoneticPr fontId="3" type="noConversion"/>
  </si>
  <si>
    <t>蔡志益</t>
    <phoneticPr fontId="2" type="noConversion"/>
  </si>
  <si>
    <t>李瑜華</t>
    <phoneticPr fontId="2" type="noConversion"/>
  </si>
  <si>
    <t>王秋棉</t>
    <phoneticPr fontId="2" type="noConversion"/>
  </si>
  <si>
    <t>代課一覽表(108/6/01至108/6/30)</t>
    <phoneticPr fontId="3" type="noConversion"/>
  </si>
  <si>
    <t>馬鳴國小代課費領款計算表
(108/6/01至108/6/30)</t>
    <phoneticPr fontId="3" type="noConversion"/>
  </si>
  <si>
    <t>黃博盟</t>
    <phoneticPr fontId="2" type="noConversion"/>
  </si>
  <si>
    <t>6/3</t>
    <phoneticPr fontId="2" type="noConversion"/>
  </si>
  <si>
    <t>一</t>
    <phoneticPr fontId="2" type="noConversion"/>
  </si>
  <si>
    <t>鐘點</t>
    <phoneticPr fontId="2" type="noConversion"/>
  </si>
  <si>
    <t>公</t>
    <phoneticPr fontId="2" type="noConversion"/>
  </si>
  <si>
    <t>1080047614</t>
    <phoneticPr fontId="2" type="noConversion"/>
  </si>
  <si>
    <t>戴綿綿</t>
    <phoneticPr fontId="2" type="noConversion"/>
  </si>
  <si>
    <t>6/4</t>
    <phoneticPr fontId="2" type="noConversion"/>
  </si>
  <si>
    <t>二</t>
    <phoneticPr fontId="2" type="noConversion"/>
  </si>
  <si>
    <t>鐘點</t>
    <phoneticPr fontId="2" type="noConversion"/>
  </si>
  <si>
    <t>1080035871</t>
    <phoneticPr fontId="2" type="noConversion"/>
  </si>
  <si>
    <t>黃敬芸/陳怡嘉</t>
    <phoneticPr fontId="2" type="noConversion"/>
  </si>
  <si>
    <t>6/6</t>
    <phoneticPr fontId="2" type="noConversion"/>
  </si>
  <si>
    <t>四</t>
    <phoneticPr fontId="2" type="noConversion"/>
  </si>
  <si>
    <t>鐘點</t>
    <phoneticPr fontId="2" type="noConversion"/>
  </si>
  <si>
    <t>1080035871</t>
    <phoneticPr fontId="2" type="noConversion"/>
  </si>
  <si>
    <t>王秋棉</t>
    <phoneticPr fontId="2" type="noConversion"/>
  </si>
  <si>
    <t>6/4</t>
    <phoneticPr fontId="2" type="noConversion"/>
  </si>
  <si>
    <t>二</t>
    <phoneticPr fontId="2" type="noConversion"/>
  </si>
  <si>
    <t>1日</t>
    <phoneticPr fontId="2" type="noConversion"/>
  </si>
  <si>
    <t>公</t>
    <phoneticPr fontId="2" type="noConversion"/>
  </si>
  <si>
    <t>喪</t>
    <phoneticPr fontId="2" type="noConversion"/>
  </si>
  <si>
    <t>黃加淳</t>
    <phoneticPr fontId="2" type="noConversion"/>
  </si>
  <si>
    <t>王秋棉</t>
    <phoneticPr fontId="2" type="noConversion"/>
  </si>
  <si>
    <t>6/10</t>
    <phoneticPr fontId="2" type="noConversion"/>
  </si>
  <si>
    <t>一</t>
    <phoneticPr fontId="2" type="noConversion"/>
  </si>
  <si>
    <t>1日</t>
    <phoneticPr fontId="2" type="noConversion"/>
  </si>
  <si>
    <t>黃加淳</t>
    <phoneticPr fontId="2" type="noConversion"/>
  </si>
  <si>
    <t>6/11</t>
    <phoneticPr fontId="2" type="noConversion"/>
  </si>
  <si>
    <t>喪</t>
    <phoneticPr fontId="2" type="noConversion"/>
  </si>
  <si>
    <t>黃加淳</t>
    <phoneticPr fontId="2" type="noConversion"/>
  </si>
  <si>
    <t>戴綿綿</t>
    <phoneticPr fontId="2" type="noConversion"/>
  </si>
  <si>
    <t>6/11</t>
    <phoneticPr fontId="2" type="noConversion"/>
  </si>
  <si>
    <t>二</t>
    <phoneticPr fontId="2" type="noConversion"/>
  </si>
  <si>
    <t>1080029661</t>
    <phoneticPr fontId="2" type="noConversion"/>
  </si>
  <si>
    <t>黃敬芸/陳怡嘉</t>
    <phoneticPr fontId="2" type="noConversion"/>
  </si>
  <si>
    <t>戴綿綿</t>
    <phoneticPr fontId="2" type="noConversion"/>
  </si>
  <si>
    <t>6/13</t>
    <phoneticPr fontId="2" type="noConversion"/>
  </si>
  <si>
    <t>四</t>
    <phoneticPr fontId="2" type="noConversion"/>
  </si>
  <si>
    <t>鐘點</t>
    <phoneticPr fontId="2" type="noConversion"/>
  </si>
  <si>
    <t>1080029661</t>
    <phoneticPr fontId="2" type="noConversion"/>
  </si>
  <si>
    <t>6/18</t>
    <phoneticPr fontId="2" type="noConversion"/>
  </si>
  <si>
    <t>公</t>
    <phoneticPr fontId="2" type="noConversion"/>
  </si>
  <si>
    <t>1080029661</t>
    <phoneticPr fontId="2" type="noConversion"/>
  </si>
  <si>
    <t>王秋棉</t>
    <phoneticPr fontId="2" type="noConversion"/>
  </si>
  <si>
    <t>6/21</t>
    <phoneticPr fontId="2" type="noConversion"/>
  </si>
  <si>
    <t>五</t>
    <phoneticPr fontId="2" type="noConversion"/>
  </si>
  <si>
    <t>喪</t>
    <phoneticPr fontId="2" type="noConversion"/>
  </si>
  <si>
    <t>戴綿綿</t>
    <phoneticPr fontId="2" type="noConversion"/>
  </si>
  <si>
    <t>6/25</t>
    <phoneticPr fontId="2" type="noConversion"/>
  </si>
  <si>
    <t>二</t>
    <phoneticPr fontId="2" type="noConversion"/>
  </si>
  <si>
    <t>1080029661</t>
    <phoneticPr fontId="2" type="noConversion"/>
  </si>
  <si>
    <t>黃敬芸</t>
    <phoneticPr fontId="2" type="noConversion"/>
  </si>
  <si>
    <t>陳怡嘉</t>
    <phoneticPr fontId="2" type="noConversion"/>
  </si>
  <si>
    <t>魏瑋婷</t>
    <phoneticPr fontId="2" type="noConversion"/>
  </si>
  <si>
    <t>9/5</t>
    <phoneticPr fontId="2" type="noConversion"/>
  </si>
  <si>
    <t>9/19</t>
    <phoneticPr fontId="2" type="noConversion"/>
  </si>
  <si>
    <t>四</t>
    <phoneticPr fontId="2" type="noConversion"/>
  </si>
  <si>
    <t>1日</t>
    <phoneticPr fontId="2" type="noConversion"/>
  </si>
  <si>
    <t>1080076179</t>
    <phoneticPr fontId="2" type="noConversion"/>
  </si>
  <si>
    <t>產前假</t>
    <phoneticPr fontId="2" type="noConversion"/>
  </si>
  <si>
    <t>蔡志益</t>
    <phoneticPr fontId="2" type="noConversion"/>
  </si>
  <si>
    <t>紀乃綺</t>
    <phoneticPr fontId="2" type="noConversion"/>
  </si>
  <si>
    <t>江俊傑</t>
    <phoneticPr fontId="2" type="noConversion"/>
  </si>
  <si>
    <t>9/6</t>
    <phoneticPr fontId="2" type="noConversion"/>
  </si>
  <si>
    <t>鐘點</t>
    <phoneticPr fontId="2" type="noConversion"/>
  </si>
  <si>
    <t>公</t>
    <phoneticPr fontId="2" type="noConversion"/>
  </si>
  <si>
    <t>1080078320</t>
    <phoneticPr fontId="2" type="noConversion"/>
  </si>
  <si>
    <t>孫寧穗</t>
    <phoneticPr fontId="2" type="noConversion"/>
  </si>
  <si>
    <t>五</t>
    <phoneticPr fontId="2" type="noConversion"/>
  </si>
  <si>
    <t>蔡志益</t>
    <phoneticPr fontId="2" type="noConversion"/>
  </si>
  <si>
    <t>孫寧穗</t>
    <phoneticPr fontId="2" type="noConversion"/>
  </si>
  <si>
    <t>紀乃綺</t>
    <phoneticPr fontId="2" type="noConversion"/>
  </si>
  <si>
    <t>代課一覽表(108/9/01至108/9/30)</t>
    <phoneticPr fontId="3" type="noConversion"/>
  </si>
  <si>
    <t>馬鳴國小代課費領款計算表
(108/9/01至108/9/30)</t>
    <phoneticPr fontId="3" type="noConversion"/>
  </si>
  <si>
    <t>代課教師</t>
    <phoneticPr fontId="3" type="noConversion"/>
  </si>
  <si>
    <t>代課一覽表(108/10/01至108/10/31)</t>
    <phoneticPr fontId="3" type="noConversion"/>
  </si>
  <si>
    <t>馬鳴國小代課費領款計算表
(108/10/01至108/10/31)</t>
    <phoneticPr fontId="3" type="noConversion"/>
  </si>
  <si>
    <t>黃敬芸</t>
    <phoneticPr fontId="2" type="noConversion"/>
  </si>
  <si>
    <t>10/21</t>
    <phoneticPr fontId="2" type="noConversion"/>
  </si>
  <si>
    <t>10/21</t>
    <phoneticPr fontId="2" type="noConversion"/>
  </si>
  <si>
    <t>10/23</t>
    <phoneticPr fontId="2" type="noConversion"/>
  </si>
  <si>
    <t>10/25</t>
    <phoneticPr fontId="2" type="noConversion"/>
  </si>
  <si>
    <t>三</t>
    <phoneticPr fontId="2" type="noConversion"/>
  </si>
  <si>
    <t>五</t>
    <phoneticPr fontId="2" type="noConversion"/>
  </si>
  <si>
    <t>陳怡嘉</t>
    <phoneticPr fontId="2" type="noConversion"/>
  </si>
  <si>
    <t>黃敬芸</t>
    <phoneticPr fontId="2" type="noConversion"/>
  </si>
  <si>
    <t>1日</t>
    <phoneticPr fontId="2" type="noConversion"/>
  </si>
  <si>
    <t>1日</t>
    <phoneticPr fontId="2" type="noConversion"/>
  </si>
  <si>
    <t>107選務工作公排代</t>
    <phoneticPr fontId="2" type="noConversion"/>
  </si>
  <si>
    <t>中市教特1080095862</t>
    <phoneticPr fontId="2" type="noConversion"/>
  </si>
  <si>
    <t>中市教課1080095273</t>
    <phoneticPr fontId="2" type="noConversion"/>
  </si>
  <si>
    <t>紀乃綺</t>
    <phoneticPr fontId="2" type="noConversion"/>
  </si>
  <si>
    <t>李君珮</t>
    <phoneticPr fontId="2" type="noConversion"/>
  </si>
  <si>
    <t>4日</t>
    <phoneticPr fontId="2" type="noConversion"/>
  </si>
  <si>
    <t>公</t>
    <phoneticPr fontId="2" type="noConversion"/>
  </si>
  <si>
    <t>李君珮</t>
    <phoneticPr fontId="2" type="noConversion"/>
  </si>
  <si>
    <t>公</t>
    <phoneticPr fontId="2" type="noConversion"/>
  </si>
  <si>
    <t>代課一覽表(108/11/01至108/11/30)</t>
    <phoneticPr fontId="3" type="noConversion"/>
  </si>
  <si>
    <t>馬鳴國小代課費領款計算表
(108/11/01至108/11/30)</t>
    <phoneticPr fontId="3" type="noConversion"/>
  </si>
  <si>
    <t>江俊傑</t>
    <phoneticPr fontId="2" type="noConversion"/>
  </si>
  <si>
    <t>11/5</t>
    <phoneticPr fontId="2" type="noConversion"/>
  </si>
  <si>
    <t>二</t>
    <phoneticPr fontId="2" type="noConversion"/>
  </si>
  <si>
    <t>中市教體1080091683</t>
    <phoneticPr fontId="2" type="noConversion"/>
  </si>
  <si>
    <t>黃敬芸</t>
    <phoneticPr fontId="2" type="noConversion"/>
  </si>
  <si>
    <t>江俊傑</t>
    <phoneticPr fontId="2" type="noConversion"/>
  </si>
  <si>
    <t>11/6</t>
    <phoneticPr fontId="2" type="noConversion"/>
  </si>
  <si>
    <t>江俊傑</t>
    <phoneticPr fontId="2" type="noConversion"/>
  </si>
  <si>
    <t>11/7</t>
    <phoneticPr fontId="2" type="noConversion"/>
  </si>
  <si>
    <t>公</t>
    <phoneticPr fontId="2" type="noConversion"/>
  </si>
  <si>
    <t>李瑜華</t>
    <phoneticPr fontId="2" type="noConversion"/>
  </si>
  <si>
    <t>江俊傑</t>
    <phoneticPr fontId="2" type="noConversion"/>
  </si>
  <si>
    <r>
      <t>11/8</t>
    </r>
    <r>
      <rPr>
        <sz val="12"/>
        <rFont val="新細明體"/>
        <family val="1"/>
        <charset val="136"/>
      </rPr>
      <t>、</t>
    </r>
    <r>
      <rPr>
        <sz val="12"/>
        <rFont val="標楷體"/>
        <family val="4"/>
        <charset val="136"/>
      </rPr>
      <t>11/12</t>
    </r>
    <r>
      <rPr>
        <sz val="12"/>
        <rFont val="新細明體"/>
        <family val="1"/>
        <charset val="136"/>
      </rPr>
      <t>、</t>
    </r>
    <r>
      <rPr>
        <sz val="12"/>
        <rFont val="標楷體"/>
        <family val="4"/>
        <charset val="136"/>
      </rPr>
      <t>11/14、11/19、11/21、11/26、11/27、11/28</t>
    </r>
    <phoneticPr fontId="2" type="noConversion"/>
  </si>
  <si>
    <t>公</t>
    <phoneticPr fontId="2" type="noConversion"/>
  </si>
  <si>
    <t>蔡志益</t>
    <phoneticPr fontId="2" type="noConversion"/>
  </si>
  <si>
    <t>11/8、11/22、11/29</t>
    <phoneticPr fontId="2" type="noConversion"/>
  </si>
  <si>
    <t>黃博盟</t>
    <phoneticPr fontId="2" type="noConversion"/>
  </si>
  <si>
    <t>11/11、11/12、11/18、11/19、11/26</t>
    <phoneticPr fontId="2" type="noConversion"/>
  </si>
  <si>
    <t>李君珮</t>
    <phoneticPr fontId="2" type="noConversion"/>
  </si>
  <si>
    <t>江俊傑</t>
    <phoneticPr fontId="2" type="noConversion"/>
  </si>
  <si>
    <t>11/13、11/20</t>
    <phoneticPr fontId="2" type="noConversion"/>
  </si>
  <si>
    <t>紀乃綺</t>
    <phoneticPr fontId="2" type="noConversion"/>
  </si>
  <si>
    <t>江俊傑</t>
    <phoneticPr fontId="2" type="noConversion"/>
  </si>
  <si>
    <t>11/15</t>
    <phoneticPr fontId="2" type="noConversion"/>
  </si>
  <si>
    <t>公</t>
    <phoneticPr fontId="2" type="noConversion"/>
  </si>
  <si>
    <t>11/26</t>
    <phoneticPr fontId="2" type="noConversion"/>
  </si>
  <si>
    <t>二</t>
    <phoneticPr fontId="2" type="noConversion"/>
  </si>
  <si>
    <t>中正教院1080010664</t>
    <phoneticPr fontId="2" type="noConversion"/>
  </si>
  <si>
    <t>紀乃綺</t>
    <phoneticPr fontId="2" type="noConversion"/>
  </si>
  <si>
    <t>黃博盟</t>
    <phoneticPr fontId="2" type="noConversion"/>
  </si>
  <si>
    <t>楊婉瑄</t>
    <phoneticPr fontId="2" type="noConversion"/>
  </si>
  <si>
    <t>孫寧穗</t>
    <phoneticPr fontId="2" type="noConversion"/>
  </si>
  <si>
    <t>李瑜華</t>
    <phoneticPr fontId="2" type="noConversion"/>
  </si>
  <si>
    <t>黃敬芸</t>
    <phoneticPr fontId="2" type="noConversion"/>
  </si>
  <si>
    <t>公假</t>
    <phoneticPr fontId="2" type="noConversion"/>
  </si>
  <si>
    <t>公假</t>
    <phoneticPr fontId="2" type="noConversion"/>
  </si>
  <si>
    <t>公假</t>
    <phoneticPr fontId="2" type="noConversion"/>
  </si>
  <si>
    <t>公假</t>
    <phoneticPr fontId="2" type="noConversion"/>
  </si>
  <si>
    <t>林沁瑤</t>
    <phoneticPr fontId="2" type="noConversion"/>
  </si>
  <si>
    <t>11/27</t>
    <phoneticPr fontId="2" type="noConversion"/>
  </si>
  <si>
    <t>三</t>
    <phoneticPr fontId="2" type="noConversion"/>
  </si>
  <si>
    <t>1日</t>
    <phoneticPr fontId="2" type="noConversion"/>
  </si>
  <si>
    <t>中正教終1080095690</t>
    <phoneticPr fontId="2" type="noConversion"/>
  </si>
  <si>
    <t>黃加淳</t>
    <phoneticPr fontId="2" type="noConversion"/>
  </si>
  <si>
    <t>黃加淳</t>
    <phoneticPr fontId="2" type="noConversion"/>
  </si>
  <si>
    <t>1日</t>
    <phoneticPr fontId="2" type="noConversion"/>
  </si>
  <si>
    <t>陳姸諠</t>
    <phoneticPr fontId="2" type="noConversion"/>
  </si>
  <si>
    <t>陳姸諠</t>
    <phoneticPr fontId="2" type="noConversion"/>
  </si>
  <si>
    <t>代課一覽表(108/12/01至108/12/31)</t>
    <phoneticPr fontId="3" type="noConversion"/>
  </si>
  <si>
    <t>馬鳴國小代課費領款計算表
(108/12/01至108/12/31)</t>
    <phoneticPr fontId="3" type="noConversion"/>
  </si>
  <si>
    <t xml:space="preserve"> </t>
    <phoneticPr fontId="3" type="noConversion"/>
  </si>
  <si>
    <t>魏瑋婷</t>
    <phoneticPr fontId="2" type="noConversion"/>
  </si>
  <si>
    <t>12/2</t>
    <phoneticPr fontId="2" type="noConversion"/>
  </si>
  <si>
    <t>楊燕青</t>
    <phoneticPr fontId="2" type="noConversion"/>
  </si>
  <si>
    <t>府授財務1080268760</t>
    <phoneticPr fontId="2" type="noConversion"/>
  </si>
  <si>
    <t>12/24</t>
    <phoneticPr fontId="2" type="noConversion"/>
  </si>
  <si>
    <t>李瑜華</t>
    <phoneticPr fontId="2" type="noConversion"/>
  </si>
  <si>
    <t>李瑜華</t>
    <phoneticPr fontId="2" type="noConversion"/>
  </si>
  <si>
    <t>12/10</t>
    <phoneticPr fontId="2" type="noConversion"/>
  </si>
  <si>
    <t>12/17</t>
    <phoneticPr fontId="2" type="noConversion"/>
  </si>
  <si>
    <t>12/3</t>
    <phoneticPr fontId="2" type="noConversion"/>
  </si>
  <si>
    <t>二</t>
    <phoneticPr fontId="2" type="noConversion"/>
  </si>
  <si>
    <t>王慈慧</t>
    <phoneticPr fontId="2" type="noConversion"/>
  </si>
  <si>
    <t>12/10</t>
    <phoneticPr fontId="2" type="noConversion"/>
  </si>
  <si>
    <t>二</t>
    <phoneticPr fontId="2" type="noConversion"/>
  </si>
  <si>
    <t>公</t>
    <phoneticPr fontId="2" type="noConversion"/>
  </si>
  <si>
    <t>黃博盟</t>
    <phoneticPr fontId="2" type="noConversion"/>
  </si>
  <si>
    <t>楊燕青</t>
    <phoneticPr fontId="2" type="noConversion"/>
  </si>
  <si>
    <t>12/19</t>
    <phoneticPr fontId="2" type="noConversion"/>
  </si>
  <si>
    <t>四</t>
    <phoneticPr fontId="2" type="noConversion"/>
  </si>
  <si>
    <t>公</t>
    <phoneticPr fontId="2" type="noConversion"/>
  </si>
  <si>
    <t>魏瑋婷</t>
    <phoneticPr fontId="2" type="noConversion"/>
  </si>
  <si>
    <t>12/19</t>
    <phoneticPr fontId="2" type="noConversion"/>
  </si>
  <si>
    <t>四</t>
    <phoneticPr fontId="2" type="noConversion"/>
  </si>
  <si>
    <t>公</t>
    <phoneticPr fontId="2" type="noConversion"/>
  </si>
  <si>
    <t>王琬菁</t>
    <phoneticPr fontId="2" type="noConversion"/>
  </si>
  <si>
    <t>12/25</t>
    <phoneticPr fontId="2" type="noConversion"/>
  </si>
  <si>
    <t>1日</t>
    <phoneticPr fontId="2" type="noConversion"/>
  </si>
  <si>
    <t>喪假</t>
    <phoneticPr fontId="2" type="noConversion"/>
  </si>
  <si>
    <t>柯亭卉</t>
    <phoneticPr fontId="2" type="noConversion"/>
  </si>
  <si>
    <t>柯亭卉</t>
    <phoneticPr fontId="2" type="noConversion"/>
  </si>
  <si>
    <t>12/27</t>
    <phoneticPr fontId="2" type="noConversion"/>
  </si>
  <si>
    <t>李瑜華</t>
    <phoneticPr fontId="2" type="noConversion"/>
  </si>
  <si>
    <t>黃加淳</t>
    <phoneticPr fontId="2" type="noConversion"/>
  </si>
  <si>
    <t>中市教課字第10801141991號</t>
    <phoneticPr fontId="2" type="noConversion"/>
  </si>
  <si>
    <t>中市教課字第1080109361號</t>
    <phoneticPr fontId="2" type="noConversion"/>
  </si>
  <si>
    <t xml:space="preserve">中區國稅沙鹿服務字第1080456442號 </t>
    <phoneticPr fontId="2" type="noConversion"/>
  </si>
  <si>
    <t>黃博盟</t>
    <phoneticPr fontId="2" type="noConversion"/>
  </si>
  <si>
    <t>0.5日</t>
    <phoneticPr fontId="2" type="noConversion"/>
  </si>
  <si>
    <t>鍾劭謙</t>
    <phoneticPr fontId="2" type="noConversion"/>
  </si>
  <si>
    <t>12/31</t>
    <phoneticPr fontId="2" type="noConversion"/>
  </si>
  <si>
    <t>李瑜華</t>
    <phoneticPr fontId="2" type="noConversion"/>
  </si>
  <si>
    <t>黃敬芸</t>
    <phoneticPr fontId="2" type="noConversion"/>
  </si>
  <si>
    <t>12/20</t>
    <phoneticPr fontId="2" type="noConversion"/>
  </si>
  <si>
    <t>五</t>
    <phoneticPr fontId="2" type="noConversion"/>
  </si>
  <si>
    <t>1日</t>
    <phoneticPr fontId="2" type="noConversion"/>
  </si>
  <si>
    <t>公</t>
    <phoneticPr fontId="2" type="noConversion"/>
  </si>
  <si>
    <t>中市特教字第1080115273號</t>
    <phoneticPr fontId="2" type="noConversion"/>
  </si>
  <si>
    <t>李君珮</t>
    <phoneticPr fontId="2" type="noConversion"/>
  </si>
  <si>
    <t>4.5日</t>
    <phoneticPr fontId="2" type="noConversion"/>
  </si>
  <si>
    <t>1/3</t>
    <phoneticPr fontId="2" type="noConversion"/>
  </si>
  <si>
    <t>中市教學1080120173號</t>
    <phoneticPr fontId="2" type="noConversion"/>
  </si>
  <si>
    <t>黃博盟</t>
    <phoneticPr fontId="2" type="noConversion"/>
  </si>
  <si>
    <t>魏瑋婷</t>
    <phoneticPr fontId="2" type="noConversion"/>
  </si>
  <si>
    <t>1/6</t>
    <phoneticPr fontId="2" type="noConversion"/>
  </si>
  <si>
    <t>1日</t>
    <phoneticPr fontId="2" type="noConversion"/>
  </si>
  <si>
    <t>公</t>
    <phoneticPr fontId="2" type="noConversion"/>
  </si>
  <si>
    <t>中市教課10801141991號</t>
    <phoneticPr fontId="2" type="noConversion"/>
  </si>
  <si>
    <t>黃加淳</t>
    <phoneticPr fontId="2" type="noConversion"/>
  </si>
  <si>
    <t>魏瑋婷</t>
    <phoneticPr fontId="2" type="noConversion"/>
  </si>
  <si>
    <t>一</t>
    <phoneticPr fontId="2" type="noConversion"/>
  </si>
  <si>
    <t>魏瑋婷</t>
    <phoneticPr fontId="2" type="noConversion"/>
  </si>
  <si>
    <t>1/7</t>
    <phoneticPr fontId="2" type="noConversion"/>
  </si>
  <si>
    <t>二</t>
    <phoneticPr fontId="2" type="noConversion"/>
  </si>
  <si>
    <t>產前假</t>
    <phoneticPr fontId="2" type="noConversion"/>
  </si>
  <si>
    <t>產前假</t>
    <phoneticPr fontId="2" type="noConversion"/>
  </si>
  <si>
    <t>1/17</t>
    <phoneticPr fontId="2" type="noConversion"/>
  </si>
  <si>
    <t>1日</t>
    <phoneticPr fontId="2" type="noConversion"/>
  </si>
  <si>
    <t>李瑜華</t>
    <phoneticPr fontId="2" type="noConversion"/>
  </si>
  <si>
    <t>黃加淳</t>
    <phoneticPr fontId="2" type="noConversion"/>
  </si>
  <si>
    <t>3日</t>
    <phoneticPr fontId="2" type="noConversion"/>
  </si>
  <si>
    <t>黃加淳</t>
    <phoneticPr fontId="2" type="noConversion"/>
  </si>
  <si>
    <t>黃博盟</t>
    <phoneticPr fontId="2" type="noConversion"/>
  </si>
  <si>
    <t>代課一覽表(109/01/01至109/01/20)</t>
    <phoneticPr fontId="3" type="noConversion"/>
  </si>
  <si>
    <t>馬鳴國小代課費領款計算表
(109/01/01至109/01/20)</t>
    <phoneticPr fontId="3" type="noConversion"/>
  </si>
  <si>
    <t>林珈羽</t>
    <phoneticPr fontId="2" type="noConversion"/>
  </si>
  <si>
    <t>4/15</t>
    <phoneticPr fontId="2" type="noConversion"/>
  </si>
  <si>
    <t>三</t>
    <phoneticPr fontId="2" type="noConversion"/>
  </si>
  <si>
    <t>中市教幼字第1090027136號</t>
    <phoneticPr fontId="2" type="noConversion"/>
  </si>
  <si>
    <t>代課一覽表(109/04/01至109/04/30)</t>
    <phoneticPr fontId="3" type="noConversion"/>
  </si>
  <si>
    <t>馬鳴國小代課費領款計算表
(109/04/01至109/04/30)</t>
    <phoneticPr fontId="3" type="noConversion"/>
  </si>
  <si>
    <t>代課一覽表(109/06/01至109/06/30)</t>
    <phoneticPr fontId="3" type="noConversion"/>
  </si>
  <si>
    <t>蔡志益</t>
    <phoneticPr fontId="2" type="noConversion"/>
  </si>
  <si>
    <t>永安小字第1090001970號</t>
    <phoneticPr fontId="2" type="noConversion"/>
  </si>
  <si>
    <t>5/17</t>
    <phoneticPr fontId="2" type="noConversion"/>
  </si>
  <si>
    <t>5/13</t>
    <phoneticPr fontId="2" type="noConversion"/>
  </si>
  <si>
    <t>三</t>
    <phoneticPr fontId="2" type="noConversion"/>
  </si>
  <si>
    <t>0.5日</t>
    <phoneticPr fontId="2" type="noConversion"/>
  </si>
  <si>
    <t>0.5日</t>
    <phoneticPr fontId="2" type="noConversion"/>
  </si>
  <si>
    <t>中市教課字第109009367號</t>
    <phoneticPr fontId="2" type="noConversion"/>
  </si>
  <si>
    <t>黃加淳</t>
    <phoneticPr fontId="2" type="noConversion"/>
  </si>
  <si>
    <t>馬鳴國小代課費領款計算表
(109/06/01至109/06/30)</t>
    <phoneticPr fontId="3" type="noConversion"/>
  </si>
  <si>
    <t>.</t>
    <phoneticPr fontId="3" type="noConversion"/>
  </si>
  <si>
    <t>楊婉瑄</t>
    <phoneticPr fontId="2" type="noConversion"/>
  </si>
  <si>
    <t>楊婉瑄</t>
    <phoneticPr fontId="2" type="noConversion"/>
  </si>
  <si>
    <t>黃加淳</t>
    <phoneticPr fontId="2" type="noConversion"/>
  </si>
  <si>
    <t>紀乃綺</t>
    <phoneticPr fontId="2" type="noConversion"/>
  </si>
  <si>
    <t>6/2</t>
    <phoneticPr fontId="2" type="noConversion"/>
  </si>
  <si>
    <t>3小時</t>
    <phoneticPr fontId="2" type="noConversion"/>
  </si>
  <si>
    <t>1.3.4節</t>
    <phoneticPr fontId="2" type="noConversion"/>
  </si>
  <si>
    <t>中市教小字第1090038554</t>
    <phoneticPr fontId="2" type="noConversion"/>
  </si>
  <si>
    <t>中市教學字第1090046838</t>
    <phoneticPr fontId="2" type="noConversion"/>
  </si>
  <si>
    <t>6/12</t>
    <phoneticPr fontId="2" type="noConversion"/>
  </si>
  <si>
    <t>6/30</t>
    <phoneticPr fontId="2" type="noConversion"/>
  </si>
  <si>
    <t>六</t>
    <phoneticPr fontId="2" type="noConversion"/>
  </si>
  <si>
    <t>5-7節</t>
    <phoneticPr fontId="2" type="noConversion"/>
  </si>
  <si>
    <t>中市教幼字第1090050808</t>
    <phoneticPr fontId="2" type="noConversion"/>
  </si>
  <si>
    <t>1日6小時</t>
    <phoneticPr fontId="2" type="noConversion"/>
  </si>
  <si>
    <t>代課一覽表(109/07/01至109/07/31)</t>
    <phoneticPr fontId="3" type="noConversion"/>
  </si>
  <si>
    <t>7/9</t>
    <phoneticPr fontId="2" type="noConversion"/>
  </si>
  <si>
    <t>中市教資字第1090045931號</t>
    <phoneticPr fontId="2" type="noConversion"/>
  </si>
  <si>
    <t>馬鳴國小代課費領款計算表
(109/07/01至109/07/31)</t>
    <phoneticPr fontId="3" type="noConversion"/>
  </si>
  <si>
    <t>勞健保</t>
    <phoneticPr fontId="2" type="noConversion"/>
  </si>
  <si>
    <t>教師姓名</t>
  </si>
  <si>
    <t>日期</t>
  </si>
  <si>
    <t>星期</t>
  </si>
  <si>
    <t>日數/鐘點</t>
  </si>
  <si>
    <t>節次</t>
  </si>
  <si>
    <t>節數</t>
  </si>
  <si>
    <t>假別</t>
  </si>
  <si>
    <t>備註(文號）</t>
  </si>
  <si>
    <t>代課教師</t>
  </si>
  <si>
    <t>魏瑋婷</t>
  </si>
  <si>
    <t>三</t>
  </si>
  <si>
    <t>0.5日</t>
  </si>
  <si>
    <t>公</t>
  </si>
  <si>
    <t>中市教課字第1090077863號</t>
  </si>
  <si>
    <t>黃加淳</t>
  </si>
  <si>
    <t>黃博盟</t>
  </si>
  <si>
    <t>中市社工字第號1090105721號</t>
  </si>
  <si>
    <t>楊婉瑄</t>
  </si>
  <si>
    <t>合計</t>
  </si>
  <si>
    <t>教務組長                  教務主任                  校長</t>
  </si>
  <si>
    <t>馬鳴國小代課費領款計算表(109/09/01至109/09/30)</t>
  </si>
  <si>
    <t>公假</t>
  </si>
  <si>
    <t>合計全日</t>
  </si>
  <si>
    <t>合計鐘點</t>
  </si>
  <si>
    <t>金額合計</t>
  </si>
  <si>
    <t>備註</t>
  </si>
  <si>
    <t>大學畢</t>
  </si>
  <si>
    <t>無教師證</t>
  </si>
  <si>
    <t>代課一覽表(109/09/01至109/09/30)</t>
    <phoneticPr fontId="2" type="noConversion"/>
  </si>
  <si>
    <t>代課一覽表(109/10/01至109/10/31)</t>
  </si>
  <si>
    <t>紀乃綺</t>
  </si>
  <si>
    <t>二</t>
  </si>
  <si>
    <t>喪</t>
  </si>
  <si>
    <t>朱從瑞</t>
  </si>
  <si>
    <t>張馨文</t>
  </si>
  <si>
    <t>四</t>
  </si>
  <si>
    <t>李瑜華</t>
  </si>
  <si>
    <t>教務組長                  教務主任                校長</t>
  </si>
  <si>
    <t>馬鳴國小代課費領款計算表(109/10/01至109/10/31)</t>
  </si>
  <si>
    <t>小計</t>
  </si>
  <si>
    <t>代課一覽表(109/12/01至109/12/23)</t>
  </si>
  <si>
    <t>代課</t>
  </si>
  <si>
    <t>教師</t>
  </si>
  <si>
    <t>1日</t>
  </si>
  <si>
    <t>中市教資字第1090099082號</t>
  </si>
  <si>
    <t>李君珮</t>
  </si>
  <si>
    <t>中市教課字第1090093879號</t>
  </si>
  <si>
    <t>中市教體字第1090104736號</t>
  </si>
  <si>
    <t>黃敬芸</t>
  </si>
  <si>
    <t>中區國稅沙鹿務字第109045647號</t>
  </si>
  <si>
    <t>馬鳴國小代課費領款計算表(109/12/01至109/12/23)</t>
  </si>
  <si>
    <t>4節</t>
  </si>
  <si>
    <t>1節</t>
  </si>
  <si>
    <t>0.5日(含導)</t>
  </si>
  <si>
    <t>代課一覽表(109/12/25至110/01/20)</t>
  </si>
  <si>
    <t>五</t>
  </si>
  <si>
    <t>中市教課字第1090108880號</t>
  </si>
  <si>
    <t>王慈慧</t>
  </si>
  <si>
    <t>李加淳</t>
  </si>
  <si>
    <t>一</t>
  </si>
  <si>
    <t>中市教小字第1100002298號</t>
  </si>
  <si>
    <t>楊燕青</t>
  </si>
  <si>
    <t>馬鳴國小代課費領款計算表(109/12/25至110/01/20)</t>
  </si>
  <si>
    <t>代課一覽表(110/03/01至110/03/31)</t>
  </si>
  <si>
    <t>中市特教字第1100008685號</t>
  </si>
  <si>
    <t>中市教中字第1100012852號</t>
  </si>
  <si>
    <t>流產假</t>
  </si>
  <si>
    <t>戴綿綿</t>
  </si>
  <si>
    <t>導師費</t>
  </si>
  <si>
    <t>(含導師費)</t>
  </si>
  <si>
    <r>
      <t xml:space="preserve"> </t>
    </r>
    <r>
      <rPr>
        <sz val="17"/>
        <color theme="1"/>
        <rFont val="標楷體"/>
        <family val="4"/>
        <charset val="136"/>
      </rPr>
      <t>馬鳴國小代課費領款計算表(110/03/01至110/03/31)</t>
    </r>
  </si>
  <si>
    <t>3日</t>
  </si>
  <si>
    <t>3節(含導師費)</t>
  </si>
  <si>
    <t>6節</t>
  </si>
  <si>
    <t>教務組長               教務主任            校長</t>
    <phoneticPr fontId="2" type="noConversion"/>
  </si>
  <si>
    <t>教務組長       教務主任            校長</t>
    <phoneticPr fontId="2" type="noConversion"/>
  </si>
  <si>
    <t>教務組長                  教務主任                  校長</t>
    <phoneticPr fontId="2" type="noConversion"/>
  </si>
  <si>
    <t>朱從瑞</t>
    <phoneticPr fontId="2" type="noConversion"/>
  </si>
  <si>
    <t>林桓慶</t>
    <phoneticPr fontId="2" type="noConversion"/>
  </si>
  <si>
    <t>姓名</t>
    <phoneticPr fontId="3" type="noConversion"/>
  </si>
  <si>
    <t>鐘點節數</t>
    <phoneticPr fontId="3" type="noConversion"/>
  </si>
  <si>
    <t>上課鐘點費(每節)</t>
    <phoneticPr fontId="3" type="noConversion"/>
  </si>
  <si>
    <t>應領薪額</t>
    <phoneticPr fontId="3" type="noConversion"/>
  </si>
  <si>
    <t>(學校)政府負擔部份</t>
    <phoneticPr fontId="3" type="noConversion"/>
  </si>
  <si>
    <t>應領總計(政府補助金額)</t>
    <phoneticPr fontId="3" type="noConversion"/>
  </si>
  <si>
    <t>自付額</t>
    <phoneticPr fontId="3" type="noConversion"/>
  </si>
  <si>
    <t>實領薪資</t>
    <phoneticPr fontId="3" type="noConversion"/>
  </si>
  <si>
    <t>勞保費</t>
    <phoneticPr fontId="3" type="noConversion"/>
  </si>
  <si>
    <t>勞工退休金提撥</t>
    <phoneticPr fontId="3" type="noConversion"/>
  </si>
  <si>
    <t>健保費</t>
    <phoneticPr fontId="3" type="noConversion"/>
  </si>
  <si>
    <t>補充保費</t>
    <phoneticPr fontId="3" type="noConversion"/>
  </si>
  <si>
    <t>代扣勞保費</t>
    <phoneticPr fontId="3" type="noConversion"/>
  </si>
  <si>
    <t>代扣健保費</t>
    <phoneticPr fontId="3" type="noConversion"/>
  </si>
  <si>
    <t>承辦人</t>
    <phoneticPr fontId="2" type="noConversion"/>
  </si>
  <si>
    <t>單位主管</t>
    <phoneticPr fontId="2" type="noConversion"/>
  </si>
  <si>
    <t>出納</t>
    <phoneticPr fontId="2" type="noConversion"/>
  </si>
  <si>
    <t>會計</t>
    <phoneticPr fontId="2" type="noConversion"/>
  </si>
  <si>
    <t>這個要發錢，所以需要出納跟會計核章</t>
    <phoneticPr fontId="2" type="noConversion"/>
  </si>
  <si>
    <t>羅梅寧</t>
    <phoneticPr fontId="2" type="noConversion"/>
  </si>
  <si>
    <t xml:space="preserve"> </t>
    <phoneticPr fontId="2" type="noConversion"/>
  </si>
  <si>
    <t>日</t>
    <phoneticPr fontId="3" type="noConversion"/>
  </si>
  <si>
    <t>日薪
薪資
(每天)</t>
    <phoneticPr fontId="3" type="noConversion"/>
  </si>
  <si>
    <t>應領
薪額</t>
    <phoneticPr fontId="3" type="noConversion"/>
  </si>
  <si>
    <t>實領
薪資</t>
    <phoneticPr fontId="3" type="noConversion"/>
  </si>
  <si>
    <t>補充
保費</t>
    <phoneticPr fontId="3" type="noConversion"/>
  </si>
  <si>
    <t>臺中市馬鳴國小114年5月教師公假排代 日薪代課 印領清冊</t>
    <phoneticPr fontId="3" type="noConversion"/>
  </si>
  <si>
    <t>1399(日薪)+97(導師費)</t>
    <phoneticPr fontId="2" type="noConversion"/>
  </si>
  <si>
    <t>＊提撥勞退機關負擔53元</t>
    <phoneticPr fontId="2" type="noConversion"/>
  </si>
  <si>
    <t>侯駿廉</t>
    <phoneticPr fontId="2" type="noConversion"/>
  </si>
  <si>
    <t>洪辰宗</t>
    <phoneticPr fontId="2" type="noConversion"/>
  </si>
  <si>
    <t>楊硯予</t>
    <phoneticPr fontId="2" type="noConversion"/>
  </si>
  <si>
    <t>李夢欣</t>
    <phoneticPr fontId="2" type="noConversion"/>
  </si>
  <si>
    <t>臺中市馬鳴國小115年6月教師 公假排代 授課節數鐘點費印領清冊</t>
    <phoneticPr fontId="3" type="noConversion"/>
  </si>
  <si>
    <t>身6</t>
    <phoneticPr fontId="2" type="noConversion"/>
  </si>
  <si>
    <t>身1</t>
    <phoneticPr fontId="2" type="noConversion"/>
  </si>
  <si>
    <t>張庭蓉</t>
    <phoneticPr fontId="2" type="noConversion"/>
  </si>
  <si>
    <t>身3</t>
    <phoneticPr fontId="2" type="noConversion"/>
  </si>
  <si>
    <t>楊文察</t>
    <phoneticPr fontId="2" type="noConversion"/>
  </si>
  <si>
    <t>謝淑娟</t>
    <phoneticPr fontId="2" type="noConversion"/>
  </si>
  <si>
    <t>身2</t>
    <phoneticPr fontId="2" type="noConversion"/>
  </si>
  <si>
    <t>身4</t>
    <phoneticPr fontId="2" type="noConversion"/>
  </si>
  <si>
    <t>黃國城</t>
    <phoneticPr fontId="2" type="noConversion"/>
  </si>
  <si>
    <t>身7</t>
    <phoneticPr fontId="2" type="noConversion"/>
  </si>
  <si>
    <t>喪2身1</t>
    <phoneticPr fontId="2" type="noConversion"/>
  </si>
  <si>
    <t>人事主任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</si>
</sst>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_);[Red]\(0\)"/>
  </numFmts>
  <fonts count="34">
    <font>
      <sz val="12"/>
      <color theme="1"/>
      <name val="新細明體"/>
      <family val="2"/>
      <charset val="136"/>
      <scheme val="minor"/>
    </font>
    <font>
      <b/>
      <sz val="20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name val="新細明體"/>
      <family val="1"/>
      <charset val="136"/>
    </font>
    <font>
      <sz val="9"/>
      <name val="標楷體"/>
      <family val="4"/>
      <charset val="136"/>
    </font>
    <font>
      <sz val="17"/>
      <color theme="1"/>
      <name val="標楷體"/>
      <family val="4"/>
      <charset val="136"/>
    </font>
    <font>
      <sz val="13.5"/>
      <color theme="1"/>
      <name val="標楷體"/>
      <family val="4"/>
      <charset val="136"/>
    </font>
    <font>
      <sz val="13.5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SetoFont"/>
      <family val="3"/>
      <charset val="136"/>
    </font>
    <font>
      <sz val="11"/>
      <name val="標楷體"/>
      <family val="4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SetoFont"/>
      <family val="3"/>
      <charset val="136"/>
    </font>
    <font>
      <sz val="8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1"/>
      <color rgb="FFFF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name val="新細明體"/>
      <family val="1"/>
      <charset val="136"/>
      <scheme val="minor"/>
    </font>
    <font>
      <sz val="8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0" fillId="0" borderId="0" xfId="0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0" fontId="0" fillId="0" borderId="0" xfId="0" applyBorder="1">
      <alignment vertical="center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0" xfId="0" applyFont="1" applyBorder="1" applyAlignment="1">
      <alignment horizontal="right"/>
    </xf>
    <xf numFmtId="0" fontId="4" fillId="0" borderId="0" xfId="0" applyFont="1" applyBorder="1">
      <alignment vertical="center"/>
    </xf>
    <xf numFmtId="49" fontId="5" fillId="0" borderId="6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6" fontId="12" fillId="0" borderId="24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0" fontId="7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0" borderId="2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4" fillId="0" borderId="2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23" fillId="0" borderId="6" xfId="0" applyFont="1" applyBorder="1">
      <alignment vertical="center"/>
    </xf>
    <xf numFmtId="0" fontId="24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26" fillId="0" borderId="0" xfId="0" applyFont="1">
      <alignment vertical="center"/>
    </xf>
    <xf numFmtId="0" fontId="24" fillId="0" borderId="0" xfId="0" applyFont="1" applyBorder="1" applyAlignment="1">
      <alignment horizontal="center" vertical="center"/>
    </xf>
    <xf numFmtId="177" fontId="24" fillId="0" borderId="0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7" fontId="17" fillId="0" borderId="6" xfId="0" applyNumberFormat="1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7" fillId="0" borderId="6" xfId="0" applyFont="1" applyBorder="1">
      <alignment vertical="center"/>
    </xf>
    <xf numFmtId="0" fontId="19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right" vertical="center"/>
    </xf>
    <xf numFmtId="177" fontId="14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77" fontId="14" fillId="0" borderId="0" xfId="0" applyNumberFormat="1" applyFont="1" applyBorder="1" applyAlignment="1">
      <alignment vertical="center"/>
    </xf>
    <xf numFmtId="0" fontId="14" fillId="0" borderId="6" xfId="0" applyFont="1" applyBorder="1">
      <alignment vertical="center"/>
    </xf>
    <xf numFmtId="0" fontId="22" fillId="0" borderId="6" xfId="0" applyFont="1" applyBorder="1" applyAlignment="1">
      <alignment vertical="center" wrapText="1"/>
    </xf>
    <xf numFmtId="0" fontId="28" fillId="0" borderId="17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6" fillId="0" borderId="0" xfId="0" applyFont="1" applyFill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49" fontId="5" fillId="0" borderId="7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76" fontId="7" fillId="0" borderId="26" xfId="0" applyNumberFormat="1" applyFont="1" applyBorder="1" applyAlignment="1">
      <alignment horizontal="center" vertical="center" wrapText="1"/>
    </xf>
    <xf numFmtId="176" fontId="7" fillId="0" borderId="23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sqref="A1:I19"/>
    </sheetView>
  </sheetViews>
  <sheetFormatPr defaultRowHeight="16.2"/>
  <cols>
    <col min="8" max="8" width="10.44140625" customWidth="1"/>
    <col min="9" max="9" width="9.77734375" customWidth="1"/>
  </cols>
  <sheetData>
    <row r="1" spans="1:9" ht="32.25" customHeight="1" thickBot="1">
      <c r="A1" s="146" t="s">
        <v>41</v>
      </c>
      <c r="B1" s="146"/>
      <c r="C1" s="146"/>
      <c r="D1" s="146"/>
      <c r="E1" s="146"/>
      <c r="F1" s="146"/>
      <c r="G1" s="146"/>
      <c r="H1" s="146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27.6">
      <c r="A3" s="4" t="s">
        <v>27</v>
      </c>
      <c r="B3" s="5" t="s">
        <v>42</v>
      </c>
      <c r="C3" s="23" t="s">
        <v>37</v>
      </c>
      <c r="D3" s="23" t="s">
        <v>43</v>
      </c>
      <c r="E3" s="5"/>
      <c r="F3" s="23"/>
      <c r="G3" s="6" t="s">
        <v>9</v>
      </c>
      <c r="H3" s="29" t="s">
        <v>44</v>
      </c>
      <c r="I3" s="3" t="s">
        <v>45</v>
      </c>
    </row>
    <row r="4" spans="1:9">
      <c r="A4" s="4" t="s">
        <v>31</v>
      </c>
      <c r="B4" s="5" t="s">
        <v>47</v>
      </c>
      <c r="C4" s="23" t="s">
        <v>48</v>
      </c>
      <c r="D4" s="23" t="s">
        <v>49</v>
      </c>
      <c r="E4" s="5" t="s">
        <v>50</v>
      </c>
      <c r="F4" s="23">
        <v>3</v>
      </c>
      <c r="G4" s="6" t="s">
        <v>51</v>
      </c>
      <c r="H4" s="143" t="s">
        <v>52</v>
      </c>
      <c r="I4" s="30" t="s">
        <v>53</v>
      </c>
    </row>
    <row r="5" spans="1:9">
      <c r="A5" s="4" t="s">
        <v>58</v>
      </c>
      <c r="B5" s="7" t="s">
        <v>54</v>
      </c>
      <c r="C5" s="23" t="s">
        <v>55</v>
      </c>
      <c r="D5" s="23" t="s">
        <v>56</v>
      </c>
      <c r="E5" s="7" t="s">
        <v>57</v>
      </c>
      <c r="F5" s="6">
        <v>1</v>
      </c>
      <c r="G5" s="6" t="s">
        <v>51</v>
      </c>
      <c r="H5" s="144"/>
      <c r="I5" s="30" t="s">
        <v>59</v>
      </c>
    </row>
    <row r="6" spans="1:9">
      <c r="A6" s="4" t="s">
        <v>61</v>
      </c>
      <c r="B6" s="7" t="s">
        <v>63</v>
      </c>
      <c r="C6" s="23" t="s">
        <v>65</v>
      </c>
      <c r="D6" s="23" t="s">
        <v>70</v>
      </c>
      <c r="E6" s="7" t="s">
        <v>71</v>
      </c>
      <c r="F6" s="6">
        <v>2</v>
      </c>
      <c r="G6" s="6" t="s">
        <v>32</v>
      </c>
      <c r="H6" s="144"/>
      <c r="I6" s="8" t="s">
        <v>60</v>
      </c>
    </row>
    <row r="7" spans="1:9">
      <c r="A7" s="4" t="s">
        <v>62</v>
      </c>
      <c r="B7" s="7" t="s">
        <v>64</v>
      </c>
      <c r="C7" s="23" t="s">
        <v>66</v>
      </c>
      <c r="D7" s="23" t="s">
        <v>40</v>
      </c>
      <c r="E7" s="7" t="s">
        <v>68</v>
      </c>
      <c r="F7" s="6">
        <v>2</v>
      </c>
      <c r="G7" s="23" t="s">
        <v>69</v>
      </c>
      <c r="H7" s="145"/>
      <c r="I7" s="8" t="s">
        <v>67</v>
      </c>
    </row>
    <row r="8" spans="1:9" ht="16.8" thickBot="1">
      <c r="A8" s="9" t="s">
        <v>14</v>
      </c>
      <c r="B8" s="10"/>
      <c r="C8" s="11"/>
      <c r="D8" s="12"/>
      <c r="E8" s="12"/>
      <c r="F8" s="12">
        <f>SUM(F3:F7)</f>
        <v>8</v>
      </c>
      <c r="G8" s="12"/>
      <c r="H8" s="13"/>
      <c r="I8" s="14"/>
    </row>
    <row r="9" spans="1:9">
      <c r="A9" s="15"/>
      <c r="B9" s="16"/>
      <c r="C9" s="15"/>
      <c r="D9" s="15"/>
      <c r="E9" s="15"/>
      <c r="F9" s="15"/>
      <c r="G9" s="15"/>
      <c r="H9" s="17"/>
      <c r="I9" s="15"/>
    </row>
    <row r="10" spans="1:9" ht="32.4">
      <c r="A10" s="17" t="s">
        <v>15</v>
      </c>
      <c r="B10" s="18"/>
      <c r="C10" s="19"/>
      <c r="D10" s="19" t="s">
        <v>16</v>
      </c>
      <c r="E10" s="19"/>
      <c r="F10" s="15"/>
      <c r="G10" s="20" t="s">
        <v>17</v>
      </c>
      <c r="H10" s="21"/>
      <c r="I10" s="15"/>
    </row>
    <row r="14" spans="1:9">
      <c r="A14" s="148" t="s">
        <v>76</v>
      </c>
      <c r="B14" s="149"/>
      <c r="C14" s="149"/>
      <c r="D14" s="149"/>
      <c r="E14" s="149"/>
      <c r="F14" s="149"/>
      <c r="G14" s="149"/>
    </row>
    <row r="15" spans="1:9" ht="39" customHeight="1">
      <c r="A15" s="150"/>
      <c r="B15" s="150"/>
      <c r="C15" s="150"/>
      <c r="D15" s="150"/>
      <c r="E15" s="150"/>
      <c r="F15" s="150"/>
      <c r="G15" s="150"/>
      <c r="H15" s="22"/>
      <c r="I15" s="22"/>
    </row>
    <row r="16" spans="1:9">
      <c r="A16" s="23" t="s">
        <v>18</v>
      </c>
      <c r="B16" s="23" t="s">
        <v>19</v>
      </c>
      <c r="C16" s="23" t="s">
        <v>20</v>
      </c>
      <c r="D16" s="23" t="s">
        <v>21</v>
      </c>
      <c r="E16" s="141" t="s">
        <v>22</v>
      </c>
      <c r="F16" s="142"/>
      <c r="G16" s="23" t="s">
        <v>23</v>
      </c>
    </row>
    <row r="17" spans="1:7">
      <c r="A17" s="23" t="s">
        <v>46</v>
      </c>
      <c r="B17" s="24">
        <v>1</v>
      </c>
      <c r="C17" s="23">
        <v>1</v>
      </c>
      <c r="D17" s="23"/>
      <c r="E17" s="141"/>
      <c r="F17" s="141"/>
      <c r="G17" s="25"/>
    </row>
    <row r="18" spans="1:7">
      <c r="A18" s="23" t="s">
        <v>72</v>
      </c>
      <c r="B18" s="24"/>
      <c r="C18" s="23"/>
      <c r="D18" s="23">
        <v>3</v>
      </c>
      <c r="E18" s="141"/>
      <c r="F18" s="141"/>
      <c r="G18" s="25"/>
    </row>
    <row r="19" spans="1:7">
      <c r="A19" s="23" t="s">
        <v>73</v>
      </c>
      <c r="B19" s="23"/>
      <c r="C19" s="23"/>
      <c r="D19" s="23">
        <v>1</v>
      </c>
      <c r="E19" s="141"/>
      <c r="F19" s="141"/>
      <c r="G19" s="25"/>
    </row>
    <row r="20" spans="1:7">
      <c r="A20" s="23" t="s">
        <v>74</v>
      </c>
      <c r="B20" s="23"/>
      <c r="C20" s="23"/>
      <c r="D20" s="23">
        <v>2</v>
      </c>
      <c r="E20" s="139"/>
      <c r="F20" s="140"/>
      <c r="G20" s="25"/>
    </row>
    <row r="21" spans="1:7">
      <c r="A21" s="23" t="s">
        <v>75</v>
      </c>
      <c r="B21" s="23"/>
      <c r="C21" s="23"/>
      <c r="D21" s="23">
        <v>2</v>
      </c>
      <c r="E21" s="139"/>
      <c r="F21" s="140"/>
      <c r="G21" s="25"/>
    </row>
    <row r="22" spans="1:7">
      <c r="A22" s="23" t="s">
        <v>24</v>
      </c>
      <c r="B22" s="23"/>
      <c r="C22" s="23">
        <f>SUM(C17:C19)</f>
        <v>1</v>
      </c>
      <c r="D22" s="23">
        <f>SUM(D17:D21)</f>
        <v>8</v>
      </c>
      <c r="E22" s="141"/>
      <c r="F22" s="142"/>
      <c r="G22" s="26"/>
    </row>
    <row r="23" spans="1:7">
      <c r="A23" s="15"/>
      <c r="B23" s="27"/>
      <c r="C23" s="27"/>
      <c r="D23" s="27"/>
      <c r="E23" s="27"/>
      <c r="F23" s="27"/>
      <c r="G23" s="15"/>
    </row>
    <row r="24" spans="1:7" ht="32.4">
      <c r="A24" s="17" t="s">
        <v>25</v>
      </c>
      <c r="B24" s="18"/>
      <c r="C24" s="15"/>
      <c r="D24" s="20" t="s">
        <v>16</v>
      </c>
      <c r="E24" s="28"/>
      <c r="F24" s="15"/>
      <c r="G24" s="20" t="s">
        <v>26</v>
      </c>
    </row>
  </sheetData>
  <mergeCells count="10">
    <mergeCell ref="E20:F20"/>
    <mergeCell ref="E22:F22"/>
    <mergeCell ref="H4:H7"/>
    <mergeCell ref="E21:F21"/>
    <mergeCell ref="A1:I1"/>
    <mergeCell ref="A14:G15"/>
    <mergeCell ref="E16:F16"/>
    <mergeCell ref="E17:F17"/>
    <mergeCell ref="E18:F18"/>
    <mergeCell ref="E19:F1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sqref="A1:I19"/>
    </sheetView>
  </sheetViews>
  <sheetFormatPr defaultRowHeight="16.2"/>
  <cols>
    <col min="7" max="7" width="7.6640625" customWidth="1"/>
    <col min="8" max="8" width="9.77734375" customWidth="1"/>
    <col min="9" max="9" width="14.109375" customWidth="1"/>
  </cols>
  <sheetData>
    <row r="1" spans="1:9" ht="28.8" thickBot="1">
      <c r="A1" s="146" t="s">
        <v>77</v>
      </c>
      <c r="B1" s="146"/>
      <c r="C1" s="146"/>
      <c r="D1" s="146"/>
      <c r="E1" s="146"/>
      <c r="F1" s="146"/>
      <c r="G1" s="146"/>
      <c r="H1" s="146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27.6">
      <c r="A3" s="4" t="s">
        <v>78</v>
      </c>
      <c r="B3" s="5" t="s">
        <v>79</v>
      </c>
      <c r="C3" s="32" t="s">
        <v>80</v>
      </c>
      <c r="D3" s="32" t="s">
        <v>81</v>
      </c>
      <c r="E3" s="5" t="s">
        <v>82</v>
      </c>
      <c r="F3" s="32">
        <v>1</v>
      </c>
      <c r="G3" s="6" t="s">
        <v>9</v>
      </c>
      <c r="H3" s="29" t="s">
        <v>83</v>
      </c>
      <c r="I3" s="3" t="s">
        <v>84</v>
      </c>
    </row>
    <row r="4" spans="1:9" ht="27.6">
      <c r="A4" s="4" t="s">
        <v>85</v>
      </c>
      <c r="B4" s="5" t="s">
        <v>86</v>
      </c>
      <c r="C4" s="32" t="s">
        <v>87</v>
      </c>
      <c r="D4" s="32" t="s">
        <v>88</v>
      </c>
      <c r="E4" s="5"/>
      <c r="F4" s="32"/>
      <c r="G4" s="6" t="s">
        <v>9</v>
      </c>
      <c r="H4" s="29" t="s">
        <v>89</v>
      </c>
      <c r="I4" s="30" t="s">
        <v>90</v>
      </c>
    </row>
    <row r="5" spans="1:9" ht="27.6">
      <c r="A5" s="4" t="s">
        <v>85</v>
      </c>
      <c r="B5" s="5" t="s">
        <v>91</v>
      </c>
      <c r="C5" s="32" t="s">
        <v>55</v>
      </c>
      <c r="D5" s="32" t="s">
        <v>38</v>
      </c>
      <c r="E5" s="7"/>
      <c r="F5" s="6"/>
      <c r="G5" s="6" t="s">
        <v>9</v>
      </c>
      <c r="H5" s="34" t="s">
        <v>92</v>
      </c>
      <c r="I5" s="30" t="s">
        <v>90</v>
      </c>
    </row>
    <row r="6" spans="1:9" ht="27.6">
      <c r="A6" s="4" t="s">
        <v>93</v>
      </c>
      <c r="B6" s="7" t="s">
        <v>94</v>
      </c>
      <c r="C6" s="32" t="s">
        <v>95</v>
      </c>
      <c r="D6" s="32" t="s">
        <v>70</v>
      </c>
      <c r="E6" s="7" t="s">
        <v>96</v>
      </c>
      <c r="F6" s="6">
        <v>2</v>
      </c>
      <c r="G6" s="6" t="s">
        <v>32</v>
      </c>
      <c r="H6" s="34" t="s">
        <v>97</v>
      </c>
      <c r="I6" s="8" t="s">
        <v>101</v>
      </c>
    </row>
    <row r="7" spans="1:9" ht="27.6">
      <c r="A7" s="4" t="s">
        <v>31</v>
      </c>
      <c r="B7" s="7" t="s">
        <v>98</v>
      </c>
      <c r="C7" s="32" t="s">
        <v>65</v>
      </c>
      <c r="D7" s="32" t="s">
        <v>40</v>
      </c>
      <c r="E7" s="7" t="s">
        <v>99</v>
      </c>
      <c r="F7" s="6">
        <v>2</v>
      </c>
      <c r="G7" s="32" t="s">
        <v>69</v>
      </c>
      <c r="H7" s="34" t="s">
        <v>100</v>
      </c>
      <c r="I7" s="8" t="s">
        <v>102</v>
      </c>
    </row>
    <row r="8" spans="1:9" ht="27.6">
      <c r="A8" s="31" t="s">
        <v>103</v>
      </c>
      <c r="B8" s="7" t="s">
        <v>104</v>
      </c>
      <c r="C8" s="6" t="s">
        <v>105</v>
      </c>
      <c r="D8" s="6" t="s">
        <v>106</v>
      </c>
      <c r="E8" s="7" t="s">
        <v>107</v>
      </c>
      <c r="F8" s="6">
        <v>2</v>
      </c>
      <c r="G8" s="32" t="s">
        <v>69</v>
      </c>
      <c r="H8" s="35" t="s">
        <v>108</v>
      </c>
      <c r="I8" s="8" t="s">
        <v>109</v>
      </c>
    </row>
    <row r="9" spans="1:9" ht="16.8" thickBot="1">
      <c r="A9" s="9" t="s">
        <v>14</v>
      </c>
      <c r="B9" s="10"/>
      <c r="C9" s="11"/>
      <c r="D9" s="12"/>
      <c r="E9" s="12"/>
      <c r="F9" s="12">
        <f>SUM(F3:F8)</f>
        <v>7</v>
      </c>
      <c r="G9" s="12"/>
      <c r="H9" s="13"/>
      <c r="I9" s="14"/>
    </row>
    <row r="10" spans="1:9">
      <c r="A10" s="15"/>
      <c r="B10" s="16"/>
      <c r="C10" s="15"/>
      <c r="D10" s="15"/>
      <c r="E10" s="15"/>
      <c r="F10" s="15"/>
      <c r="G10" s="15"/>
      <c r="H10" s="17"/>
      <c r="I10" s="15"/>
    </row>
    <row r="11" spans="1:9" ht="32.4">
      <c r="A11" s="17" t="s">
        <v>15</v>
      </c>
      <c r="B11" s="18"/>
      <c r="C11" s="19"/>
      <c r="D11" s="19" t="s">
        <v>16</v>
      </c>
      <c r="E11" s="19"/>
      <c r="F11" s="15"/>
      <c r="G11" s="20" t="s">
        <v>17</v>
      </c>
      <c r="H11" s="21"/>
      <c r="I11" s="15"/>
    </row>
    <row r="15" spans="1:9">
      <c r="A15" s="148" t="s">
        <v>110</v>
      </c>
      <c r="B15" s="149"/>
      <c r="C15" s="149"/>
      <c r="D15" s="149"/>
      <c r="E15" s="149"/>
      <c r="F15" s="149"/>
      <c r="G15" s="149"/>
    </row>
    <row r="16" spans="1:9" ht="47.25" customHeight="1">
      <c r="A16" s="150"/>
      <c r="B16" s="150"/>
      <c r="C16" s="150"/>
      <c r="D16" s="150"/>
      <c r="E16" s="150"/>
      <c r="F16" s="150"/>
      <c r="G16" s="150"/>
      <c r="H16" s="22"/>
      <c r="I16" s="22"/>
    </row>
    <row r="17" spans="1:7">
      <c r="A17" s="32" t="s">
        <v>18</v>
      </c>
      <c r="B17" s="32" t="s">
        <v>19</v>
      </c>
      <c r="C17" s="32" t="s">
        <v>20</v>
      </c>
      <c r="D17" s="32" t="s">
        <v>21</v>
      </c>
      <c r="E17" s="141" t="s">
        <v>22</v>
      </c>
      <c r="F17" s="142"/>
      <c r="G17" s="32" t="s">
        <v>23</v>
      </c>
    </row>
    <row r="18" spans="1:7">
      <c r="A18" s="32" t="s">
        <v>111</v>
      </c>
      <c r="B18" s="24"/>
      <c r="C18" s="32"/>
      <c r="D18" s="32">
        <v>3</v>
      </c>
      <c r="E18" s="141"/>
      <c r="F18" s="141"/>
      <c r="G18" s="25"/>
    </row>
    <row r="19" spans="1:7">
      <c r="A19" s="32" t="s">
        <v>112</v>
      </c>
      <c r="B19" s="24"/>
      <c r="C19" s="32">
        <v>1.5</v>
      </c>
      <c r="D19" s="32"/>
      <c r="E19" s="141"/>
      <c r="F19" s="141"/>
      <c r="G19" s="25"/>
    </row>
    <row r="20" spans="1:7">
      <c r="A20" s="32" t="s">
        <v>33</v>
      </c>
      <c r="B20" s="32"/>
      <c r="C20" s="32"/>
      <c r="D20" s="32">
        <v>3</v>
      </c>
      <c r="E20" s="141"/>
      <c r="F20" s="141"/>
      <c r="G20" s="25"/>
    </row>
    <row r="21" spans="1:7">
      <c r="A21" s="32" t="s">
        <v>113</v>
      </c>
      <c r="B21" s="32"/>
      <c r="C21" s="32"/>
      <c r="D21" s="32">
        <v>1</v>
      </c>
      <c r="E21" s="139"/>
      <c r="F21" s="140"/>
      <c r="G21" s="25"/>
    </row>
    <row r="22" spans="1:7">
      <c r="A22" s="32" t="s">
        <v>24</v>
      </c>
      <c r="B22" s="32"/>
      <c r="C22" s="32">
        <f>SUM(C18:C20)</f>
        <v>1.5</v>
      </c>
      <c r="D22" s="32">
        <f>SUM(D18:D21)</f>
        <v>7</v>
      </c>
      <c r="E22" s="141"/>
      <c r="F22" s="142"/>
      <c r="G22" s="26"/>
    </row>
    <row r="23" spans="1:7">
      <c r="A23" s="15"/>
      <c r="B23" s="27"/>
      <c r="C23" s="27"/>
      <c r="D23" s="27"/>
      <c r="E23" s="27"/>
      <c r="F23" s="27"/>
      <c r="G23" s="15"/>
    </row>
    <row r="24" spans="1:7" ht="32.4">
      <c r="A24" s="17" t="s">
        <v>25</v>
      </c>
      <c r="B24" s="18"/>
      <c r="C24" s="15"/>
      <c r="D24" s="20" t="s">
        <v>16</v>
      </c>
      <c r="E24" s="28"/>
      <c r="F24" s="15"/>
      <c r="G24" s="20" t="s">
        <v>26</v>
      </c>
    </row>
  </sheetData>
  <mergeCells count="8">
    <mergeCell ref="E20:F20"/>
    <mergeCell ref="E21:F21"/>
    <mergeCell ref="E22:F22"/>
    <mergeCell ref="A1:I1"/>
    <mergeCell ref="A15:G16"/>
    <mergeCell ref="E17:F17"/>
    <mergeCell ref="E18:F18"/>
    <mergeCell ref="E19:F1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topLeftCell="A7" workbookViewId="0">
      <selection sqref="A1:I19"/>
    </sheetView>
  </sheetViews>
  <sheetFormatPr defaultRowHeight="16.2"/>
  <cols>
    <col min="5" max="5" width="6.6640625" customWidth="1"/>
    <col min="6" max="6" width="7.44140625" customWidth="1"/>
    <col min="7" max="7" width="7.6640625" customWidth="1"/>
    <col min="8" max="8" width="10.109375" customWidth="1"/>
    <col min="9" max="9" width="14.77734375" customWidth="1"/>
  </cols>
  <sheetData>
    <row r="1" spans="1:9" ht="28.8" thickBot="1">
      <c r="A1" s="146" t="s">
        <v>114</v>
      </c>
      <c r="B1" s="146"/>
      <c r="C1" s="146"/>
      <c r="D1" s="146"/>
      <c r="E1" s="146"/>
      <c r="F1" s="146"/>
      <c r="G1" s="146"/>
      <c r="H1" s="146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27.6">
      <c r="A3" s="4" t="s">
        <v>116</v>
      </c>
      <c r="B3" s="5" t="s">
        <v>117</v>
      </c>
      <c r="C3" s="33" t="s">
        <v>118</v>
      </c>
      <c r="D3" s="33" t="s">
        <v>119</v>
      </c>
      <c r="E3" s="5"/>
      <c r="F3" s="33">
        <v>3</v>
      </c>
      <c r="G3" s="6" t="s">
        <v>120</v>
      </c>
      <c r="H3" s="29" t="s">
        <v>121</v>
      </c>
      <c r="I3" s="3" t="s">
        <v>13</v>
      </c>
    </row>
    <row r="4" spans="1:9" ht="32.4">
      <c r="A4" s="4" t="s">
        <v>122</v>
      </c>
      <c r="B4" s="5" t="s">
        <v>123</v>
      </c>
      <c r="C4" s="33" t="s">
        <v>124</v>
      </c>
      <c r="D4" s="33" t="s">
        <v>125</v>
      </c>
      <c r="E4" s="5"/>
      <c r="F4" s="33">
        <v>2</v>
      </c>
      <c r="G4" s="6" t="s">
        <v>32</v>
      </c>
      <c r="H4" s="29" t="s">
        <v>126</v>
      </c>
      <c r="I4" s="30" t="s">
        <v>127</v>
      </c>
    </row>
    <row r="5" spans="1:9">
      <c r="A5" s="4" t="s">
        <v>132</v>
      </c>
      <c r="B5" s="5" t="s">
        <v>133</v>
      </c>
      <c r="C5" s="33" t="s">
        <v>134</v>
      </c>
      <c r="D5" s="33" t="s">
        <v>135</v>
      </c>
      <c r="E5" s="7"/>
      <c r="F5" s="6"/>
      <c r="G5" s="6" t="s">
        <v>137</v>
      </c>
      <c r="H5" s="29"/>
      <c r="I5" s="30" t="s">
        <v>138</v>
      </c>
    </row>
    <row r="6" spans="1:9" ht="27.6">
      <c r="A6" s="4" t="s">
        <v>122</v>
      </c>
      <c r="B6" s="5" t="s">
        <v>128</v>
      </c>
      <c r="C6" s="33" t="s">
        <v>129</v>
      </c>
      <c r="D6" s="33" t="s">
        <v>130</v>
      </c>
      <c r="E6" s="7"/>
      <c r="F6" s="6">
        <v>2</v>
      </c>
      <c r="G6" s="6" t="s">
        <v>120</v>
      </c>
      <c r="H6" s="34" t="s">
        <v>131</v>
      </c>
      <c r="I6" s="30" t="s">
        <v>33</v>
      </c>
    </row>
    <row r="7" spans="1:9">
      <c r="A7" s="4" t="s">
        <v>139</v>
      </c>
      <c r="B7" s="7" t="s">
        <v>140</v>
      </c>
      <c r="C7" s="33" t="s">
        <v>141</v>
      </c>
      <c r="D7" s="33" t="s">
        <v>142</v>
      </c>
      <c r="E7" s="7"/>
      <c r="F7" s="6"/>
      <c r="G7" s="6" t="s">
        <v>36</v>
      </c>
      <c r="H7" s="34"/>
      <c r="I7" s="8" t="s">
        <v>143</v>
      </c>
    </row>
    <row r="8" spans="1:9">
      <c r="A8" s="4" t="s">
        <v>139</v>
      </c>
      <c r="B8" s="7" t="s">
        <v>144</v>
      </c>
      <c r="C8" s="33" t="s">
        <v>134</v>
      </c>
      <c r="D8" s="33" t="s">
        <v>35</v>
      </c>
      <c r="E8" s="7"/>
      <c r="F8" s="6"/>
      <c r="G8" s="33" t="s">
        <v>145</v>
      </c>
      <c r="H8" s="34"/>
      <c r="I8" s="8" t="s">
        <v>146</v>
      </c>
    </row>
    <row r="9" spans="1:9" ht="27.6">
      <c r="A9" s="31" t="s">
        <v>147</v>
      </c>
      <c r="B9" s="7" t="s">
        <v>148</v>
      </c>
      <c r="C9" s="6" t="s">
        <v>149</v>
      </c>
      <c r="D9" s="6" t="s">
        <v>119</v>
      </c>
      <c r="E9" s="7"/>
      <c r="F9" s="6">
        <v>2</v>
      </c>
      <c r="G9" s="33" t="s">
        <v>32</v>
      </c>
      <c r="H9" s="35" t="s">
        <v>150</v>
      </c>
      <c r="I9" s="8" t="s">
        <v>151</v>
      </c>
    </row>
    <row r="10" spans="1:9" ht="27.6">
      <c r="A10" s="31" t="s">
        <v>152</v>
      </c>
      <c r="B10" s="7" t="s">
        <v>153</v>
      </c>
      <c r="C10" s="6" t="s">
        <v>154</v>
      </c>
      <c r="D10" s="6" t="s">
        <v>155</v>
      </c>
      <c r="E10" s="7"/>
      <c r="F10" s="6">
        <v>2</v>
      </c>
      <c r="G10" s="6" t="s">
        <v>136</v>
      </c>
      <c r="H10" s="35" t="s">
        <v>156</v>
      </c>
      <c r="I10" s="8" t="s">
        <v>33</v>
      </c>
    </row>
    <row r="11" spans="1:9" ht="27.6">
      <c r="A11" s="31" t="s">
        <v>152</v>
      </c>
      <c r="B11" s="7" t="s">
        <v>157</v>
      </c>
      <c r="C11" s="6" t="s">
        <v>124</v>
      </c>
      <c r="D11" s="6" t="s">
        <v>125</v>
      </c>
      <c r="E11" s="7"/>
      <c r="F11" s="6">
        <v>1</v>
      </c>
      <c r="G11" s="6" t="s">
        <v>158</v>
      </c>
      <c r="H11" s="35" t="s">
        <v>159</v>
      </c>
      <c r="I11" s="8" t="s">
        <v>127</v>
      </c>
    </row>
    <row r="12" spans="1:9">
      <c r="A12" s="31" t="s">
        <v>160</v>
      </c>
      <c r="B12" s="7" t="s">
        <v>161</v>
      </c>
      <c r="C12" s="6" t="s">
        <v>162</v>
      </c>
      <c r="D12" s="6" t="s">
        <v>35</v>
      </c>
      <c r="E12" s="7"/>
      <c r="F12" s="6"/>
      <c r="G12" s="6" t="s">
        <v>163</v>
      </c>
      <c r="H12" s="35"/>
      <c r="I12" s="8" t="s">
        <v>13</v>
      </c>
    </row>
    <row r="13" spans="1:9" ht="27.6">
      <c r="A13" s="31" t="s">
        <v>164</v>
      </c>
      <c r="B13" s="7" t="s">
        <v>165</v>
      </c>
      <c r="C13" s="6" t="s">
        <v>166</v>
      </c>
      <c r="D13" s="6" t="s">
        <v>125</v>
      </c>
      <c r="E13" s="7"/>
      <c r="F13" s="6">
        <v>1</v>
      </c>
      <c r="G13" s="6" t="s">
        <v>120</v>
      </c>
      <c r="H13" s="35" t="s">
        <v>167</v>
      </c>
      <c r="I13" s="8" t="s">
        <v>85</v>
      </c>
    </row>
    <row r="14" spans="1:9" ht="16.8" thickBot="1">
      <c r="A14" s="9" t="s">
        <v>14</v>
      </c>
      <c r="B14" s="10"/>
      <c r="C14" s="11"/>
      <c r="D14" s="12"/>
      <c r="E14" s="12"/>
      <c r="F14" s="12">
        <f>SUM(F3:F13)</f>
        <v>13</v>
      </c>
      <c r="G14" s="12"/>
      <c r="H14" s="13"/>
      <c r="I14" s="14"/>
    </row>
    <row r="15" spans="1:9">
      <c r="A15" s="15"/>
      <c r="B15" s="16"/>
      <c r="C15" s="15"/>
      <c r="D15" s="15"/>
      <c r="E15" s="15"/>
      <c r="F15" s="15"/>
      <c r="G15" s="15"/>
      <c r="H15" s="17"/>
      <c r="I15" s="15"/>
    </row>
    <row r="16" spans="1:9" ht="32.4">
      <c r="A16" s="17" t="s">
        <v>15</v>
      </c>
      <c r="B16" s="18"/>
      <c r="C16" s="19"/>
      <c r="D16" s="19" t="s">
        <v>16</v>
      </c>
      <c r="E16" s="19"/>
      <c r="F16" s="15"/>
      <c r="G16" s="20" t="s">
        <v>17</v>
      </c>
      <c r="H16" s="21"/>
      <c r="I16" s="15"/>
    </row>
    <row r="20" spans="1:9">
      <c r="A20" s="148" t="s">
        <v>115</v>
      </c>
      <c r="B20" s="149"/>
      <c r="C20" s="149"/>
      <c r="D20" s="149"/>
      <c r="E20" s="149"/>
      <c r="F20" s="149"/>
      <c r="G20" s="149"/>
    </row>
    <row r="21" spans="1:9" ht="41.25" customHeight="1">
      <c r="A21" s="150"/>
      <c r="B21" s="150"/>
      <c r="C21" s="150"/>
      <c r="D21" s="150"/>
      <c r="E21" s="150"/>
      <c r="F21" s="150"/>
      <c r="G21" s="150"/>
      <c r="H21" s="22"/>
      <c r="I21" s="22"/>
    </row>
    <row r="22" spans="1:9">
      <c r="A22" s="33" t="s">
        <v>18</v>
      </c>
      <c r="B22" s="33" t="s">
        <v>19</v>
      </c>
      <c r="C22" s="33" t="s">
        <v>20</v>
      </c>
      <c r="D22" s="33" t="s">
        <v>21</v>
      </c>
      <c r="E22" s="141" t="s">
        <v>22</v>
      </c>
      <c r="F22" s="142"/>
      <c r="G22" s="33" t="s">
        <v>23</v>
      </c>
    </row>
    <row r="23" spans="1:9">
      <c r="A23" s="33" t="s">
        <v>13</v>
      </c>
      <c r="B23" s="33"/>
      <c r="C23" s="33">
        <v>4</v>
      </c>
      <c r="D23" s="33">
        <v>3</v>
      </c>
      <c r="E23" s="139"/>
      <c r="F23" s="151"/>
      <c r="G23" s="33"/>
    </row>
    <row r="24" spans="1:9">
      <c r="A24" s="33" t="s">
        <v>168</v>
      </c>
      <c r="B24" s="24"/>
      <c r="C24" s="33"/>
      <c r="D24" s="33">
        <v>4</v>
      </c>
      <c r="E24" s="141"/>
      <c r="F24" s="141"/>
      <c r="G24" s="25"/>
    </row>
    <row r="25" spans="1:9">
      <c r="A25" s="33" t="s">
        <v>169</v>
      </c>
      <c r="B25" s="24"/>
      <c r="C25" s="33"/>
      <c r="D25" s="33">
        <v>6</v>
      </c>
      <c r="E25" s="141"/>
      <c r="F25" s="141"/>
      <c r="G25" s="25"/>
    </row>
    <row r="26" spans="1:9">
      <c r="A26" s="15"/>
      <c r="B26" s="27"/>
      <c r="C26" s="27"/>
      <c r="D26" s="27"/>
      <c r="E26" s="27"/>
      <c r="F26" s="27"/>
      <c r="G26" s="15"/>
    </row>
    <row r="27" spans="1:9" ht="32.4">
      <c r="A27" s="17" t="s">
        <v>15</v>
      </c>
      <c r="B27" s="18"/>
      <c r="C27" s="15"/>
      <c r="D27" s="20" t="s">
        <v>16</v>
      </c>
      <c r="E27" s="28"/>
      <c r="F27" s="15"/>
      <c r="G27" s="20" t="s">
        <v>26</v>
      </c>
    </row>
  </sheetData>
  <mergeCells count="6">
    <mergeCell ref="E25:F25"/>
    <mergeCell ref="E23:F23"/>
    <mergeCell ref="A1:I1"/>
    <mergeCell ref="A20:G21"/>
    <mergeCell ref="E22:F22"/>
    <mergeCell ref="E24:F2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I19"/>
  <sheetViews>
    <sheetView workbookViewId="0">
      <selection sqref="A1:I19"/>
    </sheetView>
  </sheetViews>
  <sheetFormatPr defaultRowHeight="16.2"/>
  <cols>
    <col min="7" max="7" width="9" customWidth="1"/>
    <col min="8" max="8" width="16.21875" customWidth="1"/>
  </cols>
  <sheetData>
    <row r="1" spans="1:9" ht="28.8" thickBot="1">
      <c r="A1" s="147" t="s">
        <v>189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>
      <c r="A3" s="4" t="s">
        <v>170</v>
      </c>
      <c r="B3" s="5" t="s">
        <v>171</v>
      </c>
      <c r="C3" s="36" t="s">
        <v>173</v>
      </c>
      <c r="D3" s="36" t="s">
        <v>174</v>
      </c>
      <c r="E3" s="5"/>
      <c r="F3" s="36"/>
      <c r="G3" s="6" t="s">
        <v>51</v>
      </c>
      <c r="H3" s="29" t="s">
        <v>175</v>
      </c>
      <c r="I3" s="3" t="s">
        <v>177</v>
      </c>
    </row>
    <row r="4" spans="1:9">
      <c r="A4" s="4" t="s">
        <v>179</v>
      </c>
      <c r="B4" s="5" t="s">
        <v>180</v>
      </c>
      <c r="C4" s="36" t="s">
        <v>185</v>
      </c>
      <c r="D4" s="36" t="s">
        <v>181</v>
      </c>
      <c r="E4" s="5"/>
      <c r="F4" s="36">
        <v>1</v>
      </c>
      <c r="G4" s="6" t="s">
        <v>182</v>
      </c>
      <c r="H4" s="29" t="s">
        <v>183</v>
      </c>
      <c r="I4" s="3" t="s">
        <v>184</v>
      </c>
    </row>
    <row r="5" spans="1:9">
      <c r="A5" s="4" t="s">
        <v>58</v>
      </c>
      <c r="B5" s="5" t="s">
        <v>172</v>
      </c>
      <c r="C5" s="36" t="s">
        <v>95</v>
      </c>
      <c r="D5" s="36" t="s">
        <v>174</v>
      </c>
      <c r="E5" s="5"/>
      <c r="F5" s="36"/>
      <c r="G5" s="6" t="s">
        <v>176</v>
      </c>
      <c r="H5" s="29"/>
      <c r="I5" s="30" t="s">
        <v>178</v>
      </c>
    </row>
    <row r="6" spans="1:9" ht="16.8" thickBot="1">
      <c r="A6" s="9" t="s">
        <v>14</v>
      </c>
      <c r="B6" s="10"/>
      <c r="C6" s="11"/>
      <c r="D6" s="12"/>
      <c r="E6" s="12"/>
      <c r="F6" s="12">
        <f>SUM(F3:F5)</f>
        <v>1</v>
      </c>
      <c r="G6" s="12"/>
      <c r="H6" s="13"/>
      <c r="I6" s="14"/>
    </row>
    <row r="7" spans="1:9">
      <c r="A7" s="15"/>
      <c r="B7" s="16"/>
      <c r="C7" s="15"/>
      <c r="D7" s="15"/>
      <c r="E7" s="15"/>
      <c r="F7" s="15"/>
      <c r="G7" s="15"/>
      <c r="H7" s="17"/>
      <c r="I7" s="15"/>
    </row>
    <row r="8" spans="1:9" ht="32.4">
      <c r="A8" s="17" t="s">
        <v>15</v>
      </c>
      <c r="B8" s="18"/>
      <c r="C8" s="19"/>
      <c r="D8" s="19" t="s">
        <v>16</v>
      </c>
      <c r="E8" s="19"/>
      <c r="F8" s="15"/>
      <c r="G8" s="20" t="s">
        <v>17</v>
      </c>
      <c r="H8" s="21"/>
      <c r="I8" s="15"/>
    </row>
    <row r="12" spans="1:9">
      <c r="A12" s="148" t="s">
        <v>190</v>
      </c>
      <c r="B12" s="149"/>
      <c r="C12" s="149"/>
      <c r="D12" s="149"/>
      <c r="E12" s="149"/>
      <c r="F12" s="149"/>
      <c r="G12" s="149"/>
    </row>
    <row r="13" spans="1:9" ht="71.25" customHeight="1">
      <c r="A13" s="150"/>
      <c r="B13" s="150"/>
      <c r="C13" s="150"/>
      <c r="D13" s="150"/>
      <c r="E13" s="150"/>
      <c r="F13" s="150"/>
      <c r="G13" s="150"/>
      <c r="H13" s="22"/>
      <c r="I13" s="22"/>
    </row>
    <row r="14" spans="1:9" ht="63.75" customHeight="1">
      <c r="A14" s="36" t="s">
        <v>191</v>
      </c>
      <c r="B14" s="36" t="s">
        <v>19</v>
      </c>
      <c r="C14" s="36" t="s">
        <v>20</v>
      </c>
      <c r="D14" s="36" t="s">
        <v>21</v>
      </c>
      <c r="E14" s="141" t="s">
        <v>22</v>
      </c>
      <c r="F14" s="142"/>
      <c r="G14" s="36" t="s">
        <v>23</v>
      </c>
    </row>
    <row r="15" spans="1:9">
      <c r="A15" s="36" t="s">
        <v>186</v>
      </c>
      <c r="B15" s="36">
        <v>1</v>
      </c>
      <c r="C15" s="36">
        <v>1</v>
      </c>
      <c r="D15" s="36"/>
      <c r="E15" s="139"/>
      <c r="F15" s="151"/>
      <c r="G15" s="36"/>
    </row>
    <row r="16" spans="1:9">
      <c r="A16" s="36" t="s">
        <v>187</v>
      </c>
      <c r="B16" s="24"/>
      <c r="C16" s="36"/>
      <c r="D16" s="36">
        <v>1</v>
      </c>
      <c r="E16" s="141"/>
      <c r="F16" s="141"/>
      <c r="G16" s="25"/>
    </row>
    <row r="17" spans="1:7">
      <c r="A17" s="36" t="s">
        <v>188</v>
      </c>
      <c r="B17" s="24">
        <v>1</v>
      </c>
      <c r="C17" s="36">
        <v>1</v>
      </c>
      <c r="D17" s="36"/>
      <c r="E17" s="141"/>
      <c r="F17" s="141"/>
      <c r="G17" s="25"/>
    </row>
    <row r="18" spans="1:7">
      <c r="A18" s="15"/>
      <c r="B18" s="27"/>
      <c r="C18" s="27"/>
      <c r="D18" s="27"/>
      <c r="E18" s="27"/>
      <c r="F18" s="27"/>
      <c r="G18" s="15"/>
    </row>
    <row r="19" spans="1:7" ht="32.4">
      <c r="A19" s="17" t="s">
        <v>15</v>
      </c>
      <c r="B19" s="18"/>
      <c r="C19" s="15"/>
      <c r="D19" s="20" t="s">
        <v>16</v>
      </c>
      <c r="E19" s="28"/>
      <c r="F19" s="15"/>
      <c r="G19" s="20" t="s">
        <v>26</v>
      </c>
    </row>
  </sheetData>
  <mergeCells count="6">
    <mergeCell ref="E17:F17"/>
    <mergeCell ref="A1:I1"/>
    <mergeCell ref="A12:G13"/>
    <mergeCell ref="E14:F14"/>
    <mergeCell ref="E15:F15"/>
    <mergeCell ref="E16:F16"/>
  </mergeCells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I20"/>
  <sheetViews>
    <sheetView workbookViewId="0">
      <selection sqref="A1:I19"/>
    </sheetView>
  </sheetViews>
  <sheetFormatPr defaultRowHeight="16.2"/>
  <cols>
    <col min="7" max="7" width="15.77734375" customWidth="1"/>
    <col min="8" max="8" width="14.33203125" customWidth="1"/>
  </cols>
  <sheetData>
    <row r="1" spans="1:9" ht="28.8" thickBot="1">
      <c r="A1" s="147" t="s">
        <v>192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27.6">
      <c r="A3" s="4" t="s">
        <v>194</v>
      </c>
      <c r="B3" s="5" t="s">
        <v>195</v>
      </c>
      <c r="C3" s="37" t="s">
        <v>34</v>
      </c>
      <c r="D3" s="37" t="s">
        <v>35</v>
      </c>
      <c r="E3" s="5"/>
      <c r="F3" s="37"/>
      <c r="G3" s="6" t="s">
        <v>32</v>
      </c>
      <c r="H3" s="29" t="s">
        <v>206</v>
      </c>
      <c r="I3" s="3" t="s">
        <v>39</v>
      </c>
    </row>
    <row r="4" spans="1:9">
      <c r="A4" s="4" t="s">
        <v>201</v>
      </c>
      <c r="B4" s="5" t="s">
        <v>196</v>
      </c>
      <c r="C4" s="37" t="s">
        <v>34</v>
      </c>
      <c r="D4" s="37" t="s">
        <v>203</v>
      </c>
      <c r="E4" s="5"/>
      <c r="F4" s="37"/>
      <c r="G4" s="39" t="s">
        <v>205</v>
      </c>
      <c r="H4" s="29"/>
      <c r="I4" s="3" t="s">
        <v>209</v>
      </c>
    </row>
    <row r="5" spans="1:9" ht="27.6">
      <c r="A5" s="4" t="s">
        <v>58</v>
      </c>
      <c r="B5" s="5" t="s">
        <v>197</v>
      </c>
      <c r="C5" s="37" t="s">
        <v>199</v>
      </c>
      <c r="D5" s="37" t="s">
        <v>204</v>
      </c>
      <c r="E5" s="5"/>
      <c r="F5" s="37"/>
      <c r="G5" s="6" t="s">
        <v>213</v>
      </c>
      <c r="H5" s="29" t="s">
        <v>207</v>
      </c>
      <c r="I5" s="3" t="s">
        <v>208</v>
      </c>
    </row>
    <row r="6" spans="1:9" ht="27.6">
      <c r="A6" s="4" t="s">
        <v>202</v>
      </c>
      <c r="B6" s="5" t="s">
        <v>198</v>
      </c>
      <c r="C6" s="37" t="s">
        <v>200</v>
      </c>
      <c r="D6" s="37" t="s">
        <v>35</v>
      </c>
      <c r="E6" s="5"/>
      <c r="F6" s="37"/>
      <c r="G6" s="6" t="s">
        <v>211</v>
      </c>
      <c r="H6" s="29" t="s">
        <v>206</v>
      </c>
      <c r="I6" s="30" t="s">
        <v>209</v>
      </c>
    </row>
    <row r="7" spans="1:9" ht="16.8" thickBot="1">
      <c r="A7" s="9" t="s">
        <v>14</v>
      </c>
      <c r="B7" s="10"/>
      <c r="C7" s="11"/>
      <c r="D7" s="12" t="s">
        <v>210</v>
      </c>
      <c r="E7" s="12"/>
      <c r="F7" s="12">
        <f>SUM(F3:F6)</f>
        <v>0</v>
      </c>
      <c r="G7" s="12"/>
      <c r="H7" s="13"/>
      <c r="I7" s="14"/>
    </row>
    <row r="8" spans="1:9">
      <c r="A8" s="15"/>
      <c r="B8" s="16"/>
      <c r="C8" s="15"/>
      <c r="D8" s="15"/>
      <c r="E8" s="15"/>
      <c r="F8" s="15"/>
      <c r="G8" s="15"/>
      <c r="H8" s="17"/>
      <c r="I8" s="15"/>
    </row>
    <row r="9" spans="1:9" ht="32.4">
      <c r="A9" s="17" t="s">
        <v>15</v>
      </c>
      <c r="B9" s="18"/>
      <c r="C9" s="19"/>
      <c r="D9" s="19" t="s">
        <v>16</v>
      </c>
      <c r="E9" s="19"/>
      <c r="F9" s="15"/>
      <c r="G9" s="20" t="s">
        <v>17</v>
      </c>
      <c r="H9" s="21"/>
      <c r="I9" s="15"/>
    </row>
    <row r="13" spans="1:9">
      <c r="A13" s="148" t="s">
        <v>193</v>
      </c>
      <c r="B13" s="149"/>
      <c r="C13" s="149"/>
      <c r="D13" s="149"/>
      <c r="E13" s="149"/>
      <c r="F13" s="149"/>
      <c r="G13" s="149"/>
    </row>
    <row r="14" spans="1:9" ht="55.5" customHeight="1">
      <c r="A14" s="150"/>
      <c r="B14" s="150"/>
      <c r="C14" s="150"/>
      <c r="D14" s="150"/>
      <c r="E14" s="150"/>
      <c r="F14" s="150"/>
      <c r="G14" s="150"/>
      <c r="H14" s="22"/>
      <c r="I14" s="22"/>
    </row>
    <row r="15" spans="1:9">
      <c r="A15" s="37" t="s">
        <v>191</v>
      </c>
      <c r="B15" s="37" t="s">
        <v>19</v>
      </c>
      <c r="C15" s="37" t="s">
        <v>20</v>
      </c>
      <c r="D15" s="37" t="s">
        <v>21</v>
      </c>
      <c r="E15" s="141" t="s">
        <v>22</v>
      </c>
      <c r="F15" s="142"/>
      <c r="G15" s="37" t="s">
        <v>23</v>
      </c>
    </row>
    <row r="16" spans="1:9">
      <c r="A16" s="37" t="s">
        <v>39</v>
      </c>
      <c r="B16" s="37">
        <v>1</v>
      </c>
      <c r="C16" s="37">
        <v>1</v>
      </c>
      <c r="D16" s="37"/>
      <c r="E16" s="139"/>
      <c r="F16" s="151"/>
      <c r="G16" s="37"/>
    </row>
    <row r="17" spans="1:7">
      <c r="A17" s="37" t="s">
        <v>212</v>
      </c>
      <c r="B17" s="24">
        <v>2</v>
      </c>
      <c r="C17" s="37">
        <v>2</v>
      </c>
      <c r="D17" s="37"/>
      <c r="E17" s="141"/>
      <c r="F17" s="141"/>
      <c r="G17" s="25"/>
    </row>
    <row r="18" spans="1:7">
      <c r="A18" s="37" t="s">
        <v>178</v>
      </c>
      <c r="B18" s="24">
        <v>1</v>
      </c>
      <c r="C18" s="37">
        <v>1</v>
      </c>
      <c r="D18" s="37"/>
      <c r="E18" s="141"/>
      <c r="F18" s="141"/>
      <c r="G18" s="25"/>
    </row>
    <row r="19" spans="1:7">
      <c r="A19" s="15"/>
      <c r="B19" s="27"/>
      <c r="C19" s="27"/>
      <c r="D19" s="27"/>
      <c r="E19" s="27"/>
      <c r="F19" s="27"/>
      <c r="G19" s="15"/>
    </row>
    <row r="20" spans="1:7" ht="32.4">
      <c r="A20" s="17" t="s">
        <v>15</v>
      </c>
      <c r="B20" s="18"/>
      <c r="C20" s="15"/>
      <c r="D20" s="20" t="s">
        <v>16</v>
      </c>
      <c r="E20" s="28"/>
      <c r="F20" s="15"/>
      <c r="G20" s="20" t="s">
        <v>26</v>
      </c>
    </row>
  </sheetData>
  <mergeCells count="6">
    <mergeCell ref="A1:I1"/>
    <mergeCell ref="E16:F16"/>
    <mergeCell ref="E17:F17"/>
    <mergeCell ref="E18:F18"/>
    <mergeCell ref="A13:G14"/>
    <mergeCell ref="E15:F15"/>
  </mergeCells>
  <phoneticPr fontId="2" type="noConversion"/>
  <pageMargins left="0.7" right="0.7" top="0.75" bottom="0.75" header="0.3" footer="0.3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I33"/>
  <sheetViews>
    <sheetView topLeftCell="A16" workbookViewId="0">
      <selection sqref="A1:I19"/>
    </sheetView>
  </sheetViews>
  <sheetFormatPr defaultRowHeight="16.2"/>
  <cols>
    <col min="2" max="2" width="16" customWidth="1"/>
    <col min="8" max="8" width="12.88671875" customWidth="1"/>
  </cols>
  <sheetData>
    <row r="1" spans="1:9" ht="28.8" thickBot="1">
      <c r="A1" s="147" t="s">
        <v>214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27.6">
      <c r="A3" s="4" t="s">
        <v>216</v>
      </c>
      <c r="B3" s="5" t="s">
        <v>217</v>
      </c>
      <c r="C3" s="40" t="s">
        <v>218</v>
      </c>
      <c r="D3" s="40"/>
      <c r="E3" s="24"/>
      <c r="F3" s="40">
        <v>1</v>
      </c>
      <c r="G3" s="6" t="s">
        <v>9</v>
      </c>
      <c r="H3" s="29" t="s">
        <v>219</v>
      </c>
      <c r="I3" s="3" t="s">
        <v>220</v>
      </c>
    </row>
    <row r="4" spans="1:9">
      <c r="A4" s="4" t="s">
        <v>221</v>
      </c>
      <c r="B4" s="5" t="s">
        <v>222</v>
      </c>
      <c r="C4" s="40" t="s">
        <v>28</v>
      </c>
      <c r="D4" s="40"/>
      <c r="E4" s="24"/>
      <c r="F4" s="40">
        <v>2</v>
      </c>
      <c r="G4" s="6" t="s">
        <v>9</v>
      </c>
      <c r="H4" s="29"/>
      <c r="I4" s="3" t="s">
        <v>11</v>
      </c>
    </row>
    <row r="5" spans="1:9">
      <c r="A5" s="4" t="s">
        <v>223</v>
      </c>
      <c r="B5" s="5" t="s">
        <v>224</v>
      </c>
      <c r="C5" s="40" t="s">
        <v>12</v>
      </c>
      <c r="D5" s="40"/>
      <c r="E5" s="24"/>
      <c r="F5" s="40">
        <v>1</v>
      </c>
      <c r="G5" s="6" t="s">
        <v>225</v>
      </c>
      <c r="H5" s="29"/>
      <c r="I5" s="3" t="s">
        <v>226</v>
      </c>
    </row>
    <row r="6" spans="1:9" ht="97.2">
      <c r="A6" s="4" t="s">
        <v>227</v>
      </c>
      <c r="B6" s="42" t="s">
        <v>228</v>
      </c>
      <c r="C6" s="40"/>
      <c r="D6" s="40"/>
      <c r="E6" s="24"/>
      <c r="F6" s="40">
        <v>10</v>
      </c>
      <c r="G6" s="6" t="s">
        <v>229</v>
      </c>
      <c r="H6" s="29"/>
      <c r="I6" s="3" t="s">
        <v>230</v>
      </c>
    </row>
    <row r="7" spans="1:9" ht="32.4">
      <c r="A7" s="4" t="s">
        <v>179</v>
      </c>
      <c r="B7" s="42" t="s">
        <v>231</v>
      </c>
      <c r="C7" s="40"/>
      <c r="D7" s="40"/>
      <c r="E7" s="24"/>
      <c r="F7" s="40">
        <v>3</v>
      </c>
      <c r="G7" s="6" t="s">
        <v>229</v>
      </c>
      <c r="H7" s="29"/>
      <c r="I7" s="3" t="s">
        <v>232</v>
      </c>
    </row>
    <row r="8" spans="1:9" ht="64.8">
      <c r="A8" s="4" t="s">
        <v>179</v>
      </c>
      <c r="B8" s="42" t="s">
        <v>233</v>
      </c>
      <c r="C8" s="40"/>
      <c r="D8" s="40"/>
      <c r="E8" s="24"/>
      <c r="F8" s="40">
        <v>5</v>
      </c>
      <c r="G8" s="6" t="s">
        <v>9</v>
      </c>
      <c r="H8" s="29"/>
      <c r="I8" s="3" t="s">
        <v>234</v>
      </c>
    </row>
    <row r="9" spans="1:9">
      <c r="A9" s="4" t="s">
        <v>238</v>
      </c>
      <c r="B9" s="42" t="s">
        <v>239</v>
      </c>
      <c r="C9" s="40"/>
      <c r="D9" s="40"/>
      <c r="E9" s="24"/>
      <c r="F9" s="40">
        <v>1</v>
      </c>
      <c r="G9" s="6" t="s">
        <v>240</v>
      </c>
      <c r="H9" s="29"/>
      <c r="I9" s="3" t="s">
        <v>45</v>
      </c>
    </row>
    <row r="10" spans="1:9">
      <c r="A10" s="4" t="s">
        <v>235</v>
      </c>
      <c r="B10" s="5" t="s">
        <v>236</v>
      </c>
      <c r="C10" s="40"/>
      <c r="D10" s="40"/>
      <c r="E10" s="24"/>
      <c r="F10" s="40">
        <v>4</v>
      </c>
      <c r="G10" s="6" t="s">
        <v>9</v>
      </c>
      <c r="H10" s="29"/>
      <c r="I10" s="30" t="s">
        <v>237</v>
      </c>
    </row>
    <row r="11" spans="1:9" ht="27.6">
      <c r="A11" s="4" t="s">
        <v>62</v>
      </c>
      <c r="B11" s="5" t="s">
        <v>241</v>
      </c>
      <c r="C11" s="40" t="s">
        <v>242</v>
      </c>
      <c r="D11" s="40"/>
      <c r="E11" s="24"/>
      <c r="F11" s="40">
        <v>5</v>
      </c>
      <c r="G11" s="6" t="s">
        <v>9</v>
      </c>
      <c r="H11" s="29" t="s">
        <v>243</v>
      </c>
      <c r="I11" s="30" t="s">
        <v>262</v>
      </c>
    </row>
    <row r="12" spans="1:9" ht="27.6">
      <c r="A12" s="4" t="s">
        <v>254</v>
      </c>
      <c r="B12" s="5" t="s">
        <v>255</v>
      </c>
      <c r="C12" s="40" t="s">
        <v>256</v>
      </c>
      <c r="D12" s="40" t="s">
        <v>257</v>
      </c>
      <c r="E12" s="24"/>
      <c r="F12" s="40"/>
      <c r="G12" s="6" t="s">
        <v>9</v>
      </c>
      <c r="H12" s="29" t="s">
        <v>258</v>
      </c>
      <c r="I12" s="30" t="s">
        <v>259</v>
      </c>
    </row>
    <row r="13" spans="1:9" ht="16.8" thickBot="1">
      <c r="A13" s="9" t="s">
        <v>14</v>
      </c>
      <c r="B13" s="10"/>
      <c r="C13" s="11"/>
      <c r="D13" s="12"/>
      <c r="E13" s="12"/>
      <c r="F13" s="12">
        <f>SUM(F3:F12)</f>
        <v>32</v>
      </c>
      <c r="G13" s="12"/>
      <c r="H13" s="13"/>
      <c r="I13" s="14"/>
    </row>
    <row r="14" spans="1:9">
      <c r="A14" s="15"/>
      <c r="B14" s="16"/>
      <c r="C14" s="15"/>
      <c r="D14" s="15"/>
      <c r="E14" s="15"/>
      <c r="F14" s="15"/>
      <c r="G14" s="15"/>
      <c r="H14" s="17"/>
      <c r="I14" s="15"/>
    </row>
    <row r="15" spans="1:9" ht="32.4">
      <c r="A15" s="17" t="s">
        <v>15</v>
      </c>
      <c r="B15" s="18"/>
      <c r="C15" s="19"/>
      <c r="D15" s="19" t="s">
        <v>16</v>
      </c>
      <c r="E15" s="19"/>
      <c r="F15" s="15"/>
      <c r="G15" s="20" t="s">
        <v>17</v>
      </c>
      <c r="H15" s="21"/>
      <c r="I15" s="15"/>
    </row>
    <row r="19" spans="1:9">
      <c r="A19" s="148" t="s">
        <v>215</v>
      </c>
      <c r="B19" s="149"/>
      <c r="C19" s="149"/>
      <c r="D19" s="149"/>
      <c r="E19" s="149"/>
      <c r="F19" s="149"/>
      <c r="G19" s="149"/>
    </row>
    <row r="20" spans="1:9" ht="44.25" customHeight="1">
      <c r="A20" s="150"/>
      <c r="B20" s="150"/>
      <c r="C20" s="150"/>
      <c r="D20" s="150"/>
      <c r="E20" s="150"/>
      <c r="F20" s="150"/>
      <c r="G20" s="150"/>
      <c r="H20" s="22"/>
      <c r="I20" s="22"/>
    </row>
    <row r="21" spans="1:9">
      <c r="A21" s="40" t="s">
        <v>18</v>
      </c>
      <c r="B21" s="40" t="s">
        <v>19</v>
      </c>
      <c r="C21" s="40" t="s">
        <v>20</v>
      </c>
      <c r="D21" s="40" t="s">
        <v>21</v>
      </c>
      <c r="E21" s="141" t="s">
        <v>22</v>
      </c>
      <c r="F21" s="142"/>
      <c r="G21" s="40" t="s">
        <v>23</v>
      </c>
    </row>
    <row r="22" spans="1:9">
      <c r="A22" s="40" t="s">
        <v>10</v>
      </c>
      <c r="B22" s="40" t="s">
        <v>250</v>
      </c>
      <c r="C22" s="40"/>
      <c r="D22" s="40">
        <v>10</v>
      </c>
      <c r="E22" s="139"/>
      <c r="F22" s="151"/>
      <c r="G22" s="40"/>
    </row>
    <row r="23" spans="1:9">
      <c r="A23" s="40" t="s">
        <v>209</v>
      </c>
      <c r="B23" s="24" t="s">
        <v>251</v>
      </c>
      <c r="C23" s="40"/>
      <c r="D23" s="40">
        <v>5</v>
      </c>
      <c r="E23" s="141"/>
      <c r="F23" s="141"/>
      <c r="G23" s="25"/>
    </row>
    <row r="24" spans="1:9">
      <c r="A24" s="40" t="s">
        <v>263</v>
      </c>
      <c r="B24" s="24" t="s">
        <v>19</v>
      </c>
      <c r="C24" s="40"/>
      <c r="D24" s="40">
        <v>5</v>
      </c>
      <c r="E24" s="139"/>
      <c r="F24" s="152"/>
      <c r="G24" s="25"/>
    </row>
    <row r="25" spans="1:9">
      <c r="A25" s="40" t="s">
        <v>244</v>
      </c>
      <c r="B25" s="24" t="s">
        <v>251</v>
      </c>
      <c r="C25" s="40"/>
      <c r="D25" s="40">
        <v>4</v>
      </c>
      <c r="E25" s="139"/>
      <c r="F25" s="152"/>
      <c r="G25" s="25"/>
    </row>
    <row r="26" spans="1:9">
      <c r="A26" s="40" t="s">
        <v>245</v>
      </c>
      <c r="B26" s="24" t="s">
        <v>19</v>
      </c>
      <c r="C26" s="40"/>
      <c r="D26" s="40">
        <v>3</v>
      </c>
      <c r="E26" s="139"/>
      <c r="F26" s="152"/>
      <c r="G26" s="25"/>
    </row>
    <row r="27" spans="1:9">
      <c r="A27" s="40" t="s">
        <v>246</v>
      </c>
      <c r="B27" s="24" t="s">
        <v>252</v>
      </c>
      <c r="C27" s="40"/>
      <c r="D27" s="40">
        <v>2</v>
      </c>
      <c r="E27" s="139"/>
      <c r="F27" s="152"/>
      <c r="G27" s="25"/>
    </row>
    <row r="28" spans="1:9">
      <c r="A28" s="40" t="s">
        <v>247</v>
      </c>
      <c r="B28" s="24" t="s">
        <v>253</v>
      </c>
      <c r="C28" s="40"/>
      <c r="D28" s="40">
        <v>1</v>
      </c>
      <c r="E28" s="139"/>
      <c r="F28" s="152"/>
      <c r="G28" s="25"/>
    </row>
    <row r="29" spans="1:9">
      <c r="A29" s="40" t="s">
        <v>249</v>
      </c>
      <c r="B29" s="24" t="s">
        <v>19</v>
      </c>
      <c r="C29" s="40"/>
      <c r="D29" s="40">
        <v>1</v>
      </c>
      <c r="E29" s="139"/>
      <c r="F29" s="152"/>
      <c r="G29" s="25"/>
    </row>
    <row r="30" spans="1:9">
      <c r="A30" s="40" t="s">
        <v>248</v>
      </c>
      <c r="B30" s="24" t="s">
        <v>251</v>
      </c>
      <c r="C30" s="40"/>
      <c r="D30" s="40">
        <v>1</v>
      </c>
      <c r="E30" s="141"/>
      <c r="F30" s="141"/>
      <c r="G30" s="25"/>
    </row>
    <row r="31" spans="1:9">
      <c r="A31" s="40" t="s">
        <v>260</v>
      </c>
      <c r="B31" s="24" t="s">
        <v>251</v>
      </c>
      <c r="C31" s="40" t="s">
        <v>261</v>
      </c>
      <c r="D31" s="40"/>
      <c r="E31" s="141"/>
      <c r="F31" s="141"/>
      <c r="G31" s="25"/>
    </row>
    <row r="32" spans="1:9">
      <c r="A32" s="15"/>
      <c r="B32" s="27"/>
      <c r="C32" s="27"/>
      <c r="D32" s="27">
        <f>SUM(D22:D31)</f>
        <v>32</v>
      </c>
      <c r="E32" s="27"/>
      <c r="F32" s="27"/>
      <c r="G32" s="15"/>
    </row>
    <row r="33" spans="1:7" ht="32.4">
      <c r="A33" s="17" t="s">
        <v>15</v>
      </c>
      <c r="B33" s="18"/>
      <c r="C33" s="15"/>
      <c r="D33" s="20" t="s">
        <v>16</v>
      </c>
      <c r="E33" s="28"/>
      <c r="F33" s="15"/>
      <c r="G33" s="20" t="s">
        <v>26</v>
      </c>
    </row>
  </sheetData>
  <mergeCells count="13">
    <mergeCell ref="A1:I1"/>
    <mergeCell ref="A19:G20"/>
    <mergeCell ref="E21:F21"/>
    <mergeCell ref="E22:F22"/>
    <mergeCell ref="E23:F23"/>
    <mergeCell ref="E31:F31"/>
    <mergeCell ref="E24:F24"/>
    <mergeCell ref="E25:F25"/>
    <mergeCell ref="E26:F26"/>
    <mergeCell ref="E27:F27"/>
    <mergeCell ref="E28:F28"/>
    <mergeCell ref="E29:F29"/>
    <mergeCell ref="E30:F30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I31"/>
  <sheetViews>
    <sheetView zoomScale="90" zoomScaleNormal="90" workbookViewId="0">
      <selection sqref="A1:I19"/>
    </sheetView>
  </sheetViews>
  <sheetFormatPr defaultRowHeight="16.2"/>
  <cols>
    <col min="8" max="8" width="12.109375" customWidth="1"/>
  </cols>
  <sheetData>
    <row r="1" spans="1:9" ht="28.8" thickBot="1">
      <c r="A1" s="147" t="s">
        <v>264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27.6">
      <c r="A3" s="4" t="s">
        <v>269</v>
      </c>
      <c r="B3" s="5" t="s">
        <v>268</v>
      </c>
      <c r="C3" s="43" t="s">
        <v>87</v>
      </c>
      <c r="D3" s="43"/>
      <c r="E3" s="5"/>
      <c r="F3" s="43">
        <v>4</v>
      </c>
      <c r="G3" s="6" t="s">
        <v>9</v>
      </c>
      <c r="H3" s="29" t="s">
        <v>270</v>
      </c>
      <c r="I3" s="3" t="s">
        <v>209</v>
      </c>
    </row>
    <row r="4" spans="1:9">
      <c r="A4" s="4" t="s">
        <v>58</v>
      </c>
      <c r="B4" s="5" t="s">
        <v>276</v>
      </c>
      <c r="C4" s="44" t="s">
        <v>37</v>
      </c>
      <c r="D4" s="44"/>
      <c r="E4" s="5"/>
      <c r="F4" s="44">
        <v>3</v>
      </c>
      <c r="G4" s="6" t="s">
        <v>176</v>
      </c>
      <c r="H4" s="29"/>
      <c r="I4" s="3" t="s">
        <v>272</v>
      </c>
    </row>
    <row r="5" spans="1:9" ht="55.2">
      <c r="A5" s="46" t="s">
        <v>278</v>
      </c>
      <c r="B5" s="47" t="s">
        <v>279</v>
      </c>
      <c r="C5" s="48" t="s">
        <v>280</v>
      </c>
      <c r="D5" s="48"/>
      <c r="E5" s="47"/>
      <c r="F5" s="48">
        <v>2</v>
      </c>
      <c r="G5" s="49" t="s">
        <v>281</v>
      </c>
      <c r="H5" s="50" t="s">
        <v>301</v>
      </c>
      <c r="I5" s="51" t="s">
        <v>282</v>
      </c>
    </row>
    <row r="6" spans="1:9">
      <c r="A6" s="4" t="s">
        <v>267</v>
      </c>
      <c r="B6" s="5" t="s">
        <v>274</v>
      </c>
      <c r="C6" s="41" t="s">
        <v>277</v>
      </c>
      <c r="D6" s="41"/>
      <c r="E6" s="5"/>
      <c r="F6" s="41">
        <v>3</v>
      </c>
      <c r="G6" s="6" t="s">
        <v>176</v>
      </c>
      <c r="H6" s="29"/>
      <c r="I6" s="3" t="s">
        <v>272</v>
      </c>
    </row>
    <row r="7" spans="1:9">
      <c r="A7" s="4" t="s">
        <v>267</v>
      </c>
      <c r="B7" s="5" t="s">
        <v>275</v>
      </c>
      <c r="C7" s="41" t="s">
        <v>37</v>
      </c>
      <c r="D7" s="41"/>
      <c r="E7" s="5"/>
      <c r="F7" s="41">
        <v>3</v>
      </c>
      <c r="G7" s="6" t="s">
        <v>176</v>
      </c>
      <c r="H7" s="29"/>
      <c r="I7" s="51" t="s">
        <v>305</v>
      </c>
    </row>
    <row r="8" spans="1:9" ht="55.2">
      <c r="A8" s="4" t="s">
        <v>283</v>
      </c>
      <c r="B8" s="5" t="s">
        <v>284</v>
      </c>
      <c r="C8" s="43" t="s">
        <v>285</v>
      </c>
      <c r="D8" s="43"/>
      <c r="E8" s="5"/>
      <c r="F8" s="43">
        <v>4</v>
      </c>
      <c r="G8" s="6" t="s">
        <v>286</v>
      </c>
      <c r="H8" s="29" t="s">
        <v>302</v>
      </c>
      <c r="I8" s="3" t="s">
        <v>298</v>
      </c>
    </row>
    <row r="9" spans="1:9" ht="35.25" customHeight="1">
      <c r="A9" s="4" t="s">
        <v>287</v>
      </c>
      <c r="B9" s="5" t="s">
        <v>288</v>
      </c>
      <c r="C9" s="43" t="s">
        <v>289</v>
      </c>
      <c r="D9" s="43" t="s">
        <v>304</v>
      </c>
      <c r="E9" s="5"/>
      <c r="F9" s="43"/>
      <c r="G9" s="6" t="s">
        <v>290</v>
      </c>
      <c r="H9" s="53" t="s">
        <v>300</v>
      </c>
      <c r="I9" s="3" t="s">
        <v>299</v>
      </c>
    </row>
    <row r="10" spans="1:9" ht="35.25" customHeight="1">
      <c r="A10" s="4" t="s">
        <v>308</v>
      </c>
      <c r="B10" s="5" t="s">
        <v>309</v>
      </c>
      <c r="C10" s="55" t="s">
        <v>310</v>
      </c>
      <c r="D10" s="55" t="s">
        <v>311</v>
      </c>
      <c r="E10" s="5"/>
      <c r="F10" s="55"/>
      <c r="G10" s="6" t="s">
        <v>312</v>
      </c>
      <c r="H10" s="53" t="s">
        <v>313</v>
      </c>
      <c r="I10" s="3" t="s">
        <v>314</v>
      </c>
    </row>
    <row r="11" spans="1:9" ht="31.5" customHeight="1">
      <c r="A11" s="4" t="s">
        <v>58</v>
      </c>
      <c r="B11" s="5" t="s">
        <v>271</v>
      </c>
      <c r="C11" s="44" t="s">
        <v>37</v>
      </c>
      <c r="D11" s="44" t="s">
        <v>35</v>
      </c>
      <c r="E11" s="5"/>
      <c r="F11" s="44"/>
      <c r="G11" s="6" t="s">
        <v>176</v>
      </c>
      <c r="H11" s="29"/>
      <c r="I11" s="30" t="s">
        <v>61</v>
      </c>
    </row>
    <row r="12" spans="1:9">
      <c r="A12" s="31" t="s">
        <v>291</v>
      </c>
      <c r="B12" s="7" t="s">
        <v>292</v>
      </c>
      <c r="C12" s="6" t="s">
        <v>28</v>
      </c>
      <c r="D12" s="6" t="s">
        <v>293</v>
      </c>
      <c r="E12" s="7"/>
      <c r="F12" s="6"/>
      <c r="G12" s="6" t="s">
        <v>294</v>
      </c>
      <c r="H12" s="45"/>
      <c r="I12" s="52" t="s">
        <v>296</v>
      </c>
    </row>
    <row r="13" spans="1:9" ht="31.5" customHeight="1">
      <c r="A13" s="4" t="s">
        <v>58</v>
      </c>
      <c r="B13" s="5" t="s">
        <v>297</v>
      </c>
      <c r="C13" s="54" t="s">
        <v>30</v>
      </c>
      <c r="D13" s="54" t="s">
        <v>35</v>
      </c>
      <c r="E13" s="5"/>
      <c r="F13" s="54"/>
      <c r="G13" s="6" t="s">
        <v>9</v>
      </c>
      <c r="H13" s="53" t="s">
        <v>300</v>
      </c>
      <c r="I13" s="30" t="s">
        <v>295</v>
      </c>
    </row>
    <row r="14" spans="1:9">
      <c r="A14" s="4" t="s">
        <v>58</v>
      </c>
      <c r="B14" s="5" t="s">
        <v>306</v>
      </c>
      <c r="C14" s="41" t="s">
        <v>37</v>
      </c>
      <c r="D14" s="41"/>
      <c r="E14" s="5"/>
      <c r="F14" s="41">
        <v>3</v>
      </c>
      <c r="G14" s="6" t="s">
        <v>176</v>
      </c>
      <c r="H14" s="29"/>
      <c r="I14" s="30" t="s">
        <v>307</v>
      </c>
    </row>
    <row r="15" spans="1:9" ht="16.8" thickBot="1">
      <c r="A15" s="9" t="s">
        <v>14</v>
      </c>
      <c r="B15" s="10"/>
      <c r="C15" s="11"/>
      <c r="D15" s="12" t="s">
        <v>315</v>
      </c>
      <c r="E15" s="12"/>
      <c r="F15" s="12">
        <f>SUM(F3:F14)</f>
        <v>22</v>
      </c>
      <c r="G15" s="12"/>
      <c r="H15" s="13"/>
      <c r="I15" s="14"/>
    </row>
    <row r="16" spans="1:9">
      <c r="A16" s="15"/>
      <c r="B16" s="16"/>
      <c r="C16" s="15"/>
      <c r="D16" s="15"/>
      <c r="E16" s="15"/>
      <c r="F16" s="15"/>
      <c r="G16" s="15"/>
      <c r="H16" s="17"/>
      <c r="I16" s="15"/>
    </row>
    <row r="17" spans="1:9" ht="32.4">
      <c r="A17" s="17" t="s">
        <v>15</v>
      </c>
      <c r="B17" s="18"/>
      <c r="C17" s="19"/>
      <c r="D17" s="19" t="s">
        <v>16</v>
      </c>
      <c r="E17" s="19"/>
      <c r="F17" s="15"/>
      <c r="G17" s="20" t="s">
        <v>17</v>
      </c>
      <c r="H17" s="21"/>
      <c r="I17" s="15"/>
    </row>
    <row r="21" spans="1:9" ht="26.25" customHeight="1">
      <c r="A21" s="148" t="s">
        <v>265</v>
      </c>
      <c r="B21" s="149"/>
      <c r="C21" s="149"/>
      <c r="D21" s="149"/>
      <c r="E21" s="149"/>
      <c r="F21" s="149"/>
      <c r="G21" s="149"/>
    </row>
    <row r="22" spans="1:9" ht="30" customHeight="1">
      <c r="A22" s="150"/>
      <c r="B22" s="150"/>
      <c r="C22" s="150"/>
      <c r="D22" s="150"/>
      <c r="E22" s="150"/>
      <c r="F22" s="150"/>
      <c r="G22" s="150"/>
      <c r="H22" s="22"/>
      <c r="I22" s="22"/>
    </row>
    <row r="23" spans="1:9" ht="20.100000000000001" customHeight="1">
      <c r="A23" s="41" t="s">
        <v>266</v>
      </c>
      <c r="B23" s="41" t="s">
        <v>19</v>
      </c>
      <c r="C23" s="41" t="s">
        <v>20</v>
      </c>
      <c r="D23" s="41" t="s">
        <v>21</v>
      </c>
      <c r="E23" s="141" t="s">
        <v>22</v>
      </c>
      <c r="F23" s="142"/>
      <c r="G23" s="41" t="s">
        <v>23</v>
      </c>
    </row>
    <row r="24" spans="1:9" ht="20.100000000000001" customHeight="1">
      <c r="A24" s="41" t="s">
        <v>273</v>
      </c>
      <c r="B24" s="41"/>
      <c r="C24" s="41"/>
      <c r="D24" s="41">
        <v>13</v>
      </c>
      <c r="E24" s="139"/>
      <c r="F24" s="151"/>
      <c r="G24" s="41"/>
    </row>
    <row r="25" spans="1:9" ht="20.100000000000001" customHeight="1">
      <c r="A25" s="44" t="s">
        <v>303</v>
      </c>
      <c r="B25" s="44"/>
      <c r="C25" s="44"/>
      <c r="D25" s="44">
        <v>2</v>
      </c>
      <c r="E25" s="139"/>
      <c r="F25" s="152"/>
      <c r="G25" s="44"/>
    </row>
    <row r="26" spans="1:9" ht="20.100000000000001" customHeight="1">
      <c r="A26" s="44" t="s">
        <v>209</v>
      </c>
      <c r="B26" s="24"/>
      <c r="C26" s="44">
        <v>1</v>
      </c>
      <c r="D26" s="44">
        <v>4</v>
      </c>
      <c r="E26" s="141"/>
      <c r="F26" s="141"/>
      <c r="G26" s="25"/>
    </row>
    <row r="27" spans="1:9" ht="20.100000000000001" customHeight="1">
      <c r="A27" s="44" t="s">
        <v>299</v>
      </c>
      <c r="B27" s="44"/>
      <c r="C27" s="44">
        <v>0.5</v>
      </c>
      <c r="D27" s="44"/>
      <c r="E27" s="139">
        <v>1280</v>
      </c>
      <c r="F27" s="152"/>
      <c r="G27" s="44"/>
    </row>
    <row r="28" spans="1:9" ht="20.100000000000001" customHeight="1">
      <c r="A28" s="44" t="s">
        <v>61</v>
      </c>
      <c r="B28" s="24"/>
      <c r="C28" s="44">
        <v>1</v>
      </c>
      <c r="D28" s="44">
        <v>3</v>
      </c>
      <c r="E28" s="141"/>
      <c r="F28" s="141"/>
      <c r="G28" s="25"/>
    </row>
    <row r="29" spans="1:9" ht="20.100000000000001" customHeight="1">
      <c r="A29" s="41" t="s">
        <v>295</v>
      </c>
      <c r="B29" s="24"/>
      <c r="C29" s="41">
        <v>2</v>
      </c>
      <c r="D29" s="41"/>
      <c r="E29" s="141"/>
      <c r="F29" s="141"/>
      <c r="G29" s="25"/>
    </row>
    <row r="30" spans="1:9" ht="20.100000000000001" customHeight="1">
      <c r="A30" s="15"/>
      <c r="B30" s="27"/>
      <c r="C30" s="27"/>
      <c r="D30" s="27"/>
      <c r="E30" s="27"/>
      <c r="F30" s="27"/>
      <c r="G30" s="15"/>
    </row>
    <row r="31" spans="1:9" ht="32.4">
      <c r="A31" s="17" t="s">
        <v>15</v>
      </c>
      <c r="B31" s="18"/>
      <c r="C31" s="15"/>
      <c r="D31" s="20" t="s">
        <v>16</v>
      </c>
      <c r="E31" s="28"/>
      <c r="F31" s="15"/>
      <c r="G31" s="20" t="s">
        <v>26</v>
      </c>
    </row>
  </sheetData>
  <mergeCells count="9">
    <mergeCell ref="E29:F29"/>
    <mergeCell ref="A1:I1"/>
    <mergeCell ref="A21:G22"/>
    <mergeCell ref="E23:F23"/>
    <mergeCell ref="E24:F24"/>
    <mergeCell ref="E28:F28"/>
    <mergeCell ref="E25:F25"/>
    <mergeCell ref="E27:F27"/>
    <mergeCell ref="E26:F2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I22"/>
  <sheetViews>
    <sheetView topLeftCell="A10" workbookViewId="0">
      <selection sqref="A1:I19"/>
    </sheetView>
  </sheetViews>
  <sheetFormatPr defaultRowHeight="16.2"/>
  <cols>
    <col min="8" max="8" width="13" customWidth="1"/>
  </cols>
  <sheetData>
    <row r="1" spans="1:9" ht="28.8" thickBot="1">
      <c r="A1" s="147" t="s">
        <v>339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25.2">
      <c r="A3" s="4" t="s">
        <v>308</v>
      </c>
      <c r="B3" s="5" t="s">
        <v>309</v>
      </c>
      <c r="C3" s="55" t="s">
        <v>310</v>
      </c>
      <c r="D3" s="55" t="s">
        <v>311</v>
      </c>
      <c r="E3" s="5"/>
      <c r="F3" s="55"/>
      <c r="G3" s="6" t="s">
        <v>312</v>
      </c>
      <c r="H3" s="53" t="s">
        <v>313</v>
      </c>
      <c r="I3" s="3" t="s">
        <v>314</v>
      </c>
    </row>
    <row r="4" spans="1:9" ht="27.6">
      <c r="A4" s="4" t="s">
        <v>278</v>
      </c>
      <c r="B4" s="5" t="s">
        <v>316</v>
      </c>
      <c r="C4" s="55" t="s">
        <v>28</v>
      </c>
      <c r="D4" s="55"/>
      <c r="E4" s="5"/>
      <c r="F4" s="55">
        <v>1</v>
      </c>
      <c r="G4" s="6" t="s">
        <v>9</v>
      </c>
      <c r="H4" s="29" t="s">
        <v>317</v>
      </c>
      <c r="I4" s="3" t="s">
        <v>318</v>
      </c>
    </row>
    <row r="5" spans="1:9" ht="41.4">
      <c r="A5" s="4" t="s">
        <v>319</v>
      </c>
      <c r="B5" s="5" t="s">
        <v>320</v>
      </c>
      <c r="C5" s="56" t="s">
        <v>326</v>
      </c>
      <c r="D5" s="56" t="s">
        <v>321</v>
      </c>
      <c r="E5" s="5"/>
      <c r="F5" s="56"/>
      <c r="G5" s="6" t="s">
        <v>322</v>
      </c>
      <c r="H5" s="29" t="s">
        <v>323</v>
      </c>
      <c r="I5" s="3" t="s">
        <v>324</v>
      </c>
    </row>
    <row r="6" spans="1:9">
      <c r="A6" s="4" t="s">
        <v>327</v>
      </c>
      <c r="B6" s="5" t="s">
        <v>328</v>
      </c>
      <c r="C6" s="56" t="s">
        <v>329</v>
      </c>
      <c r="D6" s="56"/>
      <c r="E6" s="5"/>
      <c r="F6" s="56">
        <v>3</v>
      </c>
      <c r="G6" s="6" t="s">
        <v>330</v>
      </c>
      <c r="H6" s="29"/>
      <c r="I6" s="3" t="s">
        <v>334</v>
      </c>
    </row>
    <row r="7" spans="1:9">
      <c r="A7" s="4" t="s">
        <v>325</v>
      </c>
      <c r="B7" s="5" t="s">
        <v>332</v>
      </c>
      <c r="C7" s="55" t="s">
        <v>30</v>
      </c>
      <c r="D7" s="55" t="s">
        <v>333</v>
      </c>
      <c r="E7" s="5"/>
      <c r="F7" s="55"/>
      <c r="G7" s="6" t="s">
        <v>331</v>
      </c>
      <c r="H7" s="29"/>
      <c r="I7" s="30" t="s">
        <v>335</v>
      </c>
    </row>
    <row r="8" spans="1:9" ht="16.8" thickBot="1">
      <c r="A8" s="9" t="s">
        <v>14</v>
      </c>
      <c r="B8" s="10"/>
      <c r="C8" s="11"/>
      <c r="D8" s="12" t="s">
        <v>336</v>
      </c>
      <c r="E8" s="12"/>
      <c r="F8" s="12">
        <f>SUM(F3:F7)</f>
        <v>4</v>
      </c>
      <c r="G8" s="12"/>
      <c r="H8" s="13"/>
      <c r="I8" s="14"/>
    </row>
    <row r="9" spans="1:9">
      <c r="A9" s="15"/>
      <c r="B9" s="16"/>
      <c r="C9" s="15"/>
      <c r="D9" s="15"/>
      <c r="E9" s="15"/>
      <c r="F9" s="15"/>
      <c r="G9" s="15"/>
      <c r="H9" s="17"/>
      <c r="I9" s="15"/>
    </row>
    <row r="10" spans="1:9" ht="32.4">
      <c r="A10" s="17" t="s">
        <v>15</v>
      </c>
      <c r="B10" s="18"/>
      <c r="C10" s="19"/>
      <c r="D10" s="19" t="s">
        <v>16</v>
      </c>
      <c r="E10" s="19"/>
      <c r="F10" s="15"/>
      <c r="G10" s="20" t="s">
        <v>17</v>
      </c>
      <c r="H10" s="21"/>
      <c r="I10" s="15"/>
    </row>
    <row r="14" spans="1:9" ht="26.25" customHeight="1">
      <c r="A14" s="148" t="s">
        <v>340</v>
      </c>
      <c r="B14" s="149"/>
      <c r="C14" s="149"/>
      <c r="D14" s="149"/>
      <c r="E14" s="149"/>
      <c r="F14" s="149"/>
      <c r="G14" s="149"/>
    </row>
    <row r="15" spans="1:9" ht="27.75" customHeight="1">
      <c r="A15" s="150"/>
      <c r="B15" s="150"/>
      <c r="C15" s="150"/>
      <c r="D15" s="150"/>
      <c r="E15" s="150"/>
      <c r="F15" s="150"/>
      <c r="G15" s="150"/>
      <c r="H15" s="22"/>
      <c r="I15" s="22"/>
    </row>
    <row r="16" spans="1:9">
      <c r="A16" s="55" t="s">
        <v>18</v>
      </c>
      <c r="B16" s="55" t="s">
        <v>19</v>
      </c>
      <c r="C16" s="55" t="s">
        <v>20</v>
      </c>
      <c r="D16" s="55" t="s">
        <v>21</v>
      </c>
      <c r="E16" s="141" t="s">
        <v>22</v>
      </c>
      <c r="F16" s="142"/>
      <c r="G16" s="55" t="s">
        <v>23</v>
      </c>
    </row>
    <row r="17" spans="1:7">
      <c r="A17" s="55" t="s">
        <v>337</v>
      </c>
      <c r="B17" s="55">
        <v>2</v>
      </c>
      <c r="C17" s="55">
        <v>2</v>
      </c>
      <c r="D17" s="55"/>
      <c r="E17" s="139"/>
      <c r="F17" s="151"/>
      <c r="G17" s="55"/>
    </row>
    <row r="18" spans="1:7">
      <c r="A18" s="55" t="s">
        <v>209</v>
      </c>
      <c r="B18" s="24">
        <v>1</v>
      </c>
      <c r="C18" s="55">
        <v>1</v>
      </c>
      <c r="D18" s="55"/>
      <c r="E18" s="141"/>
      <c r="F18" s="141"/>
      <c r="G18" s="25"/>
    </row>
    <row r="19" spans="1:7">
      <c r="A19" s="56" t="s">
        <v>338</v>
      </c>
      <c r="B19" s="24"/>
      <c r="C19" s="56"/>
      <c r="D19" s="56">
        <v>1</v>
      </c>
      <c r="E19" s="139"/>
      <c r="F19" s="152"/>
      <c r="G19" s="25"/>
    </row>
    <row r="20" spans="1:7">
      <c r="A20" s="55" t="s">
        <v>29</v>
      </c>
      <c r="B20" s="24"/>
      <c r="C20" s="55"/>
      <c r="D20" s="55">
        <v>3</v>
      </c>
      <c r="E20" s="141"/>
      <c r="F20" s="141"/>
      <c r="G20" s="25"/>
    </row>
    <row r="21" spans="1:7">
      <c r="A21" s="15"/>
      <c r="B21" s="27"/>
      <c r="C21" s="27"/>
      <c r="D21" s="27"/>
      <c r="E21" s="27"/>
      <c r="F21" s="27"/>
      <c r="G21" s="15"/>
    </row>
    <row r="22" spans="1:7" ht="32.4">
      <c r="A22" s="17" t="s">
        <v>15</v>
      </c>
      <c r="B22" s="18"/>
      <c r="C22" s="15"/>
      <c r="D22" s="20" t="s">
        <v>16</v>
      </c>
      <c r="E22" s="28"/>
      <c r="F22" s="15"/>
      <c r="G22" s="20" t="s">
        <v>26</v>
      </c>
    </row>
  </sheetData>
  <mergeCells count="7">
    <mergeCell ref="E20:F20"/>
    <mergeCell ref="A1:I1"/>
    <mergeCell ref="A14:G15"/>
    <mergeCell ref="E16:F16"/>
    <mergeCell ref="E17:F17"/>
    <mergeCell ref="E18:F18"/>
    <mergeCell ref="E19:F19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  <pageSetUpPr fitToPage="1"/>
  </sheetPr>
  <dimension ref="A1:I18"/>
  <sheetViews>
    <sheetView workbookViewId="0">
      <selection sqref="A1:I19"/>
    </sheetView>
  </sheetViews>
  <sheetFormatPr defaultRowHeight="16.2"/>
  <cols>
    <col min="7" max="7" width="9" customWidth="1"/>
    <col min="8" max="8" width="11.33203125" customWidth="1"/>
  </cols>
  <sheetData>
    <row r="1" spans="1:9" ht="28.8" thickBot="1">
      <c r="A1" s="147" t="s">
        <v>345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25.2">
      <c r="A3" s="4" t="s">
        <v>341</v>
      </c>
      <c r="B3" s="5" t="s">
        <v>342</v>
      </c>
      <c r="C3" s="57" t="s">
        <v>343</v>
      </c>
      <c r="D3" s="57"/>
      <c r="E3" s="5"/>
      <c r="F3" s="57">
        <v>2</v>
      </c>
      <c r="G3" s="6" t="s">
        <v>9</v>
      </c>
      <c r="H3" s="53" t="s">
        <v>344</v>
      </c>
      <c r="I3" s="3" t="s">
        <v>269</v>
      </c>
    </row>
    <row r="4" spans="1:9" ht="16.8" thickBot="1">
      <c r="A4" s="9" t="s">
        <v>14</v>
      </c>
      <c r="B4" s="10"/>
      <c r="C4" s="11"/>
      <c r="D4" s="12"/>
      <c r="E4" s="12"/>
      <c r="F4" s="12">
        <f>SUM(F3:F3)</f>
        <v>2</v>
      </c>
      <c r="G4" s="12"/>
      <c r="H4" s="13"/>
      <c r="I4" s="14"/>
    </row>
    <row r="5" spans="1:9">
      <c r="A5" s="15"/>
      <c r="B5" s="16"/>
      <c r="C5" s="15"/>
      <c r="D5" s="15"/>
      <c r="E5" s="15"/>
      <c r="F5" s="15"/>
      <c r="G5" s="15"/>
      <c r="H5" s="17"/>
      <c r="I5" s="15"/>
    </row>
    <row r="6" spans="1:9" ht="32.4">
      <c r="A6" s="17" t="s">
        <v>15</v>
      </c>
      <c r="B6" s="18"/>
      <c r="C6" s="19"/>
      <c r="D6" s="19" t="s">
        <v>16</v>
      </c>
      <c r="E6" s="19"/>
      <c r="F6" s="15"/>
      <c r="G6" s="20" t="s">
        <v>17</v>
      </c>
      <c r="H6" s="21"/>
      <c r="I6" s="15"/>
    </row>
    <row r="10" spans="1:9" ht="24.75" customHeight="1">
      <c r="A10" s="148" t="s">
        <v>346</v>
      </c>
      <c r="B10" s="149"/>
      <c r="C10" s="149"/>
      <c r="D10" s="149"/>
      <c r="E10" s="149"/>
      <c r="F10" s="149"/>
      <c r="G10" s="149"/>
    </row>
    <row r="11" spans="1:9" ht="28.2">
      <c r="A11" s="150"/>
      <c r="B11" s="150"/>
      <c r="C11" s="150"/>
      <c r="D11" s="150"/>
      <c r="E11" s="150"/>
      <c r="F11" s="150"/>
      <c r="G11" s="150"/>
      <c r="H11" s="22"/>
      <c r="I11" s="22"/>
    </row>
    <row r="12" spans="1:9">
      <c r="A12" s="57" t="s">
        <v>18</v>
      </c>
      <c r="B12" s="57" t="s">
        <v>19</v>
      </c>
      <c r="C12" s="57" t="s">
        <v>20</v>
      </c>
      <c r="D12" s="57" t="s">
        <v>21</v>
      </c>
      <c r="E12" s="141" t="s">
        <v>22</v>
      </c>
      <c r="F12" s="142"/>
      <c r="G12" s="57" t="s">
        <v>23</v>
      </c>
    </row>
    <row r="13" spans="1:9">
      <c r="A13" s="57" t="s">
        <v>269</v>
      </c>
      <c r="B13" s="57"/>
      <c r="C13" s="57"/>
      <c r="D13" s="57">
        <v>2</v>
      </c>
      <c r="E13" s="139"/>
      <c r="F13" s="151"/>
      <c r="G13" s="57"/>
    </row>
    <row r="14" spans="1:9">
      <c r="A14" s="57"/>
      <c r="B14" s="24"/>
      <c r="C14" s="57"/>
      <c r="D14" s="57"/>
      <c r="E14" s="141"/>
      <c r="F14" s="141"/>
      <c r="G14" s="25"/>
    </row>
    <row r="15" spans="1:9">
      <c r="A15" s="57"/>
      <c r="B15" s="24"/>
      <c r="C15" s="57"/>
      <c r="D15" s="57"/>
      <c r="E15" s="139"/>
      <c r="F15" s="152"/>
      <c r="G15" s="25"/>
    </row>
    <row r="16" spans="1:9">
      <c r="A16" s="57"/>
      <c r="B16" s="24"/>
      <c r="C16" s="57"/>
      <c r="D16" s="57"/>
      <c r="E16" s="141"/>
      <c r="F16" s="141"/>
      <c r="G16" s="25"/>
    </row>
    <row r="17" spans="1:7">
      <c r="A17" s="15"/>
      <c r="B17" s="27"/>
      <c r="C17" s="27"/>
      <c r="D17" s="27"/>
      <c r="E17" s="27"/>
      <c r="F17" s="27"/>
      <c r="G17" s="15"/>
    </row>
    <row r="18" spans="1:7" ht="32.4">
      <c r="A18" s="17" t="s">
        <v>15</v>
      </c>
      <c r="B18" s="18"/>
      <c r="C18" s="15"/>
      <c r="D18" s="20" t="s">
        <v>16</v>
      </c>
      <c r="E18" s="28"/>
      <c r="F18" s="15"/>
      <c r="G18" s="20" t="s">
        <v>26</v>
      </c>
    </row>
  </sheetData>
  <mergeCells count="7">
    <mergeCell ref="E16:F16"/>
    <mergeCell ref="A1:I1"/>
    <mergeCell ref="A10:G11"/>
    <mergeCell ref="E12:F12"/>
    <mergeCell ref="E13:F13"/>
    <mergeCell ref="E14:F14"/>
    <mergeCell ref="E15:F15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  <pageSetUpPr fitToPage="1"/>
  </sheetPr>
  <dimension ref="A1:I19"/>
  <sheetViews>
    <sheetView workbookViewId="0">
      <selection sqref="A1:I19"/>
    </sheetView>
  </sheetViews>
  <sheetFormatPr defaultRowHeight="16.2"/>
  <sheetData>
    <row r="1" spans="1:9" ht="28.8" thickBot="1">
      <c r="A1" s="147" t="s">
        <v>347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39.75" customHeight="1">
      <c r="A3" s="4" t="s">
        <v>348</v>
      </c>
      <c r="B3" s="5" t="s">
        <v>351</v>
      </c>
      <c r="C3" s="58" t="s">
        <v>352</v>
      </c>
      <c r="D3" s="58"/>
      <c r="E3" s="5"/>
      <c r="F3" s="58">
        <v>1</v>
      </c>
      <c r="G3" s="6" t="s">
        <v>32</v>
      </c>
      <c r="H3" s="53" t="s">
        <v>349</v>
      </c>
      <c r="I3" s="3" t="s">
        <v>359</v>
      </c>
    </row>
    <row r="4" spans="1:9" ht="55.2">
      <c r="A4" s="4" t="s">
        <v>58</v>
      </c>
      <c r="B4" s="5" t="s">
        <v>350</v>
      </c>
      <c r="C4" s="58" t="s">
        <v>55</v>
      </c>
      <c r="D4" s="58" t="s">
        <v>353</v>
      </c>
      <c r="E4" s="5"/>
      <c r="F4" s="58"/>
      <c r="G4" s="6" t="s">
        <v>32</v>
      </c>
      <c r="H4" s="29" t="s">
        <v>355</v>
      </c>
      <c r="I4" s="3" t="s">
        <v>356</v>
      </c>
    </row>
    <row r="5" spans="1:9" ht="16.8" thickBot="1">
      <c r="A5" s="9" t="s">
        <v>14</v>
      </c>
      <c r="B5" s="10"/>
      <c r="C5" s="11"/>
      <c r="D5" s="12" t="s">
        <v>354</v>
      </c>
      <c r="E5" s="12"/>
      <c r="F5" s="12">
        <f>SUM(F3:F4)</f>
        <v>1</v>
      </c>
      <c r="G5" s="12"/>
      <c r="H5" s="13"/>
      <c r="I5" s="14"/>
    </row>
    <row r="6" spans="1:9">
      <c r="A6" s="15"/>
      <c r="B6" s="16"/>
      <c r="C6" s="15"/>
      <c r="D6" s="15"/>
      <c r="E6" s="15"/>
      <c r="F6" s="15"/>
      <c r="G6" s="15"/>
      <c r="H6" s="17"/>
      <c r="I6" s="15"/>
    </row>
    <row r="7" spans="1:9" ht="32.4">
      <c r="A7" s="17" t="s">
        <v>15</v>
      </c>
      <c r="B7" s="18"/>
      <c r="C7" s="19"/>
      <c r="D7" s="19" t="s">
        <v>16</v>
      </c>
      <c r="E7" s="19"/>
      <c r="F7" s="15"/>
      <c r="G7" s="20" t="s">
        <v>17</v>
      </c>
      <c r="H7" s="21"/>
      <c r="I7" s="15"/>
    </row>
    <row r="11" spans="1:9" ht="35.25" customHeight="1">
      <c r="A11" s="148" t="s">
        <v>357</v>
      </c>
      <c r="B11" s="149"/>
      <c r="C11" s="149"/>
      <c r="D11" s="149"/>
      <c r="E11" s="149"/>
      <c r="F11" s="149"/>
      <c r="G11" s="149"/>
    </row>
    <row r="12" spans="1:9" ht="28.2">
      <c r="A12" s="150"/>
      <c r="B12" s="150"/>
      <c r="C12" s="150"/>
      <c r="D12" s="150"/>
      <c r="E12" s="150"/>
      <c r="F12" s="150"/>
      <c r="G12" s="150"/>
      <c r="H12" s="22"/>
      <c r="I12" s="22"/>
    </row>
    <row r="13" spans="1:9">
      <c r="A13" s="58" t="s">
        <v>358</v>
      </c>
      <c r="B13" s="58" t="s">
        <v>19</v>
      </c>
      <c r="C13" s="58" t="s">
        <v>20</v>
      </c>
      <c r="D13" s="58" t="s">
        <v>21</v>
      </c>
      <c r="E13" s="141" t="s">
        <v>22</v>
      </c>
      <c r="F13" s="142"/>
      <c r="G13" s="58" t="s">
        <v>23</v>
      </c>
    </row>
    <row r="14" spans="1:9">
      <c r="A14" s="58" t="s">
        <v>360</v>
      </c>
      <c r="B14" s="58"/>
      <c r="C14" s="58"/>
      <c r="D14" s="58">
        <v>1</v>
      </c>
      <c r="E14" s="139"/>
      <c r="F14" s="151"/>
      <c r="G14" s="58"/>
    </row>
    <row r="15" spans="1:9">
      <c r="A15" s="58" t="s">
        <v>361</v>
      </c>
      <c r="B15" s="24"/>
      <c r="C15" s="58">
        <v>0.5</v>
      </c>
      <c r="D15" s="58"/>
      <c r="E15" s="141"/>
      <c r="F15" s="141"/>
      <c r="G15" s="25"/>
    </row>
    <row r="16" spans="1:9">
      <c r="A16" s="58"/>
      <c r="B16" s="24"/>
      <c r="C16" s="58"/>
      <c r="D16" s="58"/>
      <c r="E16" s="139"/>
      <c r="F16" s="152"/>
      <c r="G16" s="25"/>
    </row>
    <row r="17" spans="1:7">
      <c r="A17" s="58"/>
      <c r="B17" s="24"/>
      <c r="C17" s="58"/>
      <c r="D17" s="58"/>
      <c r="E17" s="141"/>
      <c r="F17" s="141"/>
      <c r="G17" s="25"/>
    </row>
    <row r="18" spans="1:7">
      <c r="A18" s="15"/>
      <c r="B18" s="27"/>
      <c r="C18" s="27"/>
      <c r="D18" s="27"/>
      <c r="E18" s="27"/>
      <c r="F18" s="27"/>
      <c r="G18" s="15"/>
    </row>
    <row r="19" spans="1:7" ht="32.4">
      <c r="A19" s="17" t="s">
        <v>15</v>
      </c>
      <c r="B19" s="18"/>
      <c r="C19" s="15"/>
      <c r="D19" s="20" t="s">
        <v>16</v>
      </c>
      <c r="E19" s="28"/>
      <c r="F19" s="15"/>
      <c r="G19" s="20" t="s">
        <v>26</v>
      </c>
    </row>
  </sheetData>
  <mergeCells count="7">
    <mergeCell ref="E17:F17"/>
    <mergeCell ref="A1:I1"/>
    <mergeCell ref="A11:G12"/>
    <mergeCell ref="E13:F13"/>
    <mergeCell ref="E14:F14"/>
    <mergeCell ref="E15:F15"/>
    <mergeCell ref="E16:F16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</sheetPr>
  <dimension ref="A1:I22"/>
  <sheetViews>
    <sheetView workbookViewId="0">
      <selection sqref="A1:I19"/>
    </sheetView>
  </sheetViews>
  <sheetFormatPr defaultRowHeight="16.2"/>
  <sheetData>
    <row r="1" spans="1:9" ht="28.8" thickBot="1">
      <c r="A1" s="147" t="s">
        <v>347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55.2">
      <c r="A3" s="61" t="s">
        <v>362</v>
      </c>
      <c r="B3" s="5" t="s">
        <v>363</v>
      </c>
      <c r="C3" s="62" t="s">
        <v>37</v>
      </c>
      <c r="D3" s="62" t="s">
        <v>364</v>
      </c>
      <c r="E3" s="62" t="s">
        <v>365</v>
      </c>
      <c r="F3" s="62">
        <v>3</v>
      </c>
      <c r="G3" s="63" t="s">
        <v>9</v>
      </c>
      <c r="H3" s="64" t="s">
        <v>366</v>
      </c>
      <c r="I3" s="65" t="s">
        <v>29</v>
      </c>
    </row>
    <row r="4" spans="1:9" ht="55.2">
      <c r="A4" s="61" t="s">
        <v>278</v>
      </c>
      <c r="B4" s="5" t="s">
        <v>144</v>
      </c>
      <c r="C4" s="62" t="s">
        <v>12</v>
      </c>
      <c r="D4" s="62" t="s">
        <v>364</v>
      </c>
      <c r="E4" s="62" t="s">
        <v>365</v>
      </c>
      <c r="F4" s="62">
        <v>3</v>
      </c>
      <c r="G4" s="59" t="s">
        <v>9</v>
      </c>
      <c r="H4" s="64" t="s">
        <v>367</v>
      </c>
      <c r="I4" s="65" t="s">
        <v>209</v>
      </c>
    </row>
    <row r="5" spans="1:9" ht="41.4">
      <c r="A5" s="4" t="s">
        <v>58</v>
      </c>
      <c r="B5" s="5" t="s">
        <v>368</v>
      </c>
      <c r="C5" s="59" t="s">
        <v>30</v>
      </c>
      <c r="D5" s="59" t="s">
        <v>35</v>
      </c>
      <c r="E5" s="5"/>
      <c r="F5" s="59"/>
      <c r="G5" s="6" t="s">
        <v>9</v>
      </c>
      <c r="H5" s="29" t="s">
        <v>207</v>
      </c>
      <c r="I5" s="3" t="s">
        <v>13</v>
      </c>
    </row>
    <row r="6" spans="1:9" ht="55.2">
      <c r="A6" s="4" t="s">
        <v>341</v>
      </c>
      <c r="B6" s="5" t="s">
        <v>369</v>
      </c>
      <c r="C6" s="59" t="s">
        <v>370</v>
      </c>
      <c r="D6" s="59" t="s">
        <v>364</v>
      </c>
      <c r="E6" s="5" t="s">
        <v>371</v>
      </c>
      <c r="F6" s="59">
        <v>3</v>
      </c>
      <c r="G6" s="6" t="s">
        <v>9</v>
      </c>
      <c r="H6" s="29" t="s">
        <v>372</v>
      </c>
      <c r="I6" s="30" t="s">
        <v>269</v>
      </c>
    </row>
    <row r="7" spans="1:9" ht="24.9" customHeight="1" thickBot="1">
      <c r="A7" s="9" t="s">
        <v>14</v>
      </c>
      <c r="B7" s="10"/>
      <c r="C7" s="11"/>
      <c r="D7" s="12" t="s">
        <v>373</v>
      </c>
      <c r="E7" s="12"/>
      <c r="F7" s="12">
        <v>9</v>
      </c>
      <c r="G7" s="12"/>
      <c r="H7" s="13"/>
      <c r="I7" s="14"/>
    </row>
    <row r="8" spans="1:9">
      <c r="A8" s="15"/>
      <c r="B8" s="16"/>
      <c r="C8" s="15"/>
      <c r="D8" s="15"/>
      <c r="E8" s="15"/>
      <c r="F8" s="15"/>
      <c r="G8" s="15"/>
      <c r="H8" s="17"/>
      <c r="I8" s="15"/>
    </row>
    <row r="9" spans="1:9" ht="32.4">
      <c r="A9" s="17" t="s">
        <v>15</v>
      </c>
      <c r="B9" s="18"/>
      <c r="C9" s="19"/>
      <c r="D9" s="19" t="s">
        <v>16</v>
      </c>
      <c r="E9" s="19"/>
      <c r="F9" s="15"/>
      <c r="G9" s="20" t="s">
        <v>17</v>
      </c>
      <c r="H9" s="21"/>
      <c r="I9" s="15"/>
    </row>
    <row r="10" spans="1:9" ht="30" customHeight="1"/>
    <row r="11" spans="1:9" ht="30" customHeight="1"/>
    <row r="13" spans="1:9" ht="30" customHeight="1">
      <c r="A13" s="148" t="s">
        <v>357</v>
      </c>
      <c r="B13" s="149"/>
      <c r="C13" s="149"/>
      <c r="D13" s="149"/>
      <c r="E13" s="149"/>
      <c r="F13" s="149"/>
      <c r="G13" s="149"/>
    </row>
    <row r="14" spans="1:9" ht="30" customHeight="1">
      <c r="A14" s="150"/>
      <c r="B14" s="150"/>
      <c r="C14" s="150"/>
      <c r="D14" s="150"/>
      <c r="E14" s="150"/>
      <c r="F14" s="150"/>
      <c r="G14" s="150"/>
      <c r="H14" s="22"/>
      <c r="I14" s="22"/>
    </row>
    <row r="15" spans="1:9">
      <c r="A15" s="59" t="s">
        <v>18</v>
      </c>
      <c r="B15" s="59" t="s">
        <v>19</v>
      </c>
      <c r="C15" s="59" t="s">
        <v>20</v>
      </c>
      <c r="D15" s="59" t="s">
        <v>21</v>
      </c>
      <c r="E15" s="141" t="s">
        <v>22</v>
      </c>
      <c r="F15" s="142"/>
      <c r="G15" s="59" t="s">
        <v>23</v>
      </c>
    </row>
    <row r="16" spans="1:9">
      <c r="A16" s="59" t="s">
        <v>29</v>
      </c>
      <c r="B16" s="59" t="s">
        <v>9</v>
      </c>
      <c r="C16" s="59"/>
      <c r="D16" s="59">
        <v>3</v>
      </c>
      <c r="E16" s="139"/>
      <c r="F16" s="152"/>
      <c r="G16" s="59"/>
    </row>
    <row r="17" spans="1:7">
      <c r="A17" s="59" t="s">
        <v>209</v>
      </c>
      <c r="B17" s="59" t="s">
        <v>9</v>
      </c>
      <c r="C17" s="59"/>
      <c r="D17" s="59">
        <v>3</v>
      </c>
      <c r="E17" s="139"/>
      <c r="F17" s="152"/>
      <c r="G17" s="59"/>
    </row>
    <row r="18" spans="1:7">
      <c r="A18" s="59" t="s">
        <v>13</v>
      </c>
      <c r="B18" s="59" t="s">
        <v>9</v>
      </c>
      <c r="C18" s="59">
        <v>1</v>
      </c>
      <c r="D18" s="59"/>
      <c r="E18" s="139"/>
      <c r="F18" s="151"/>
      <c r="G18" s="59"/>
    </row>
    <row r="19" spans="1:7">
      <c r="A19" s="59" t="s">
        <v>269</v>
      </c>
      <c r="B19" s="24" t="s">
        <v>9</v>
      </c>
      <c r="C19" s="59"/>
      <c r="D19" s="59">
        <v>3</v>
      </c>
      <c r="E19" s="141"/>
      <c r="F19" s="141"/>
      <c r="G19" s="25"/>
    </row>
    <row r="20" spans="1:7">
      <c r="A20" s="59"/>
      <c r="B20" s="24"/>
      <c r="C20" s="59"/>
      <c r="D20" s="59"/>
      <c r="E20" s="141"/>
      <c r="F20" s="141"/>
      <c r="G20" s="25"/>
    </row>
    <row r="21" spans="1:7">
      <c r="A21" s="15"/>
      <c r="B21" s="27"/>
      <c r="C21" s="27"/>
      <c r="D21" s="27"/>
      <c r="E21" s="27"/>
      <c r="F21" s="27"/>
      <c r="G21" s="15"/>
    </row>
    <row r="22" spans="1:7" ht="32.4">
      <c r="A22" s="17" t="s">
        <v>15</v>
      </c>
      <c r="B22" s="18"/>
      <c r="C22" s="15"/>
      <c r="D22" s="20" t="s">
        <v>16</v>
      </c>
      <c r="E22" s="28"/>
      <c r="F22" s="15"/>
      <c r="G22" s="20" t="s">
        <v>26</v>
      </c>
    </row>
  </sheetData>
  <mergeCells count="8">
    <mergeCell ref="E20:F20"/>
    <mergeCell ref="A1:I1"/>
    <mergeCell ref="E15:F15"/>
    <mergeCell ref="E16:F16"/>
    <mergeCell ref="A13:G14"/>
    <mergeCell ref="E17:F17"/>
    <mergeCell ref="E18:F18"/>
    <mergeCell ref="E19:F19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</sheetPr>
  <dimension ref="A1:I18"/>
  <sheetViews>
    <sheetView workbookViewId="0">
      <selection sqref="A1:I19"/>
    </sheetView>
  </sheetViews>
  <sheetFormatPr defaultRowHeight="16.2"/>
  <cols>
    <col min="8" max="8" width="10.44140625" customWidth="1"/>
  </cols>
  <sheetData>
    <row r="1" spans="1:9" ht="28.8" thickBot="1">
      <c r="A1" s="147" t="s">
        <v>374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8" t="s">
        <v>8</v>
      </c>
    </row>
    <row r="3" spans="1:9" ht="50.4">
      <c r="A3" s="4" t="s">
        <v>58</v>
      </c>
      <c r="B3" s="5" t="s">
        <v>375</v>
      </c>
      <c r="C3" s="60" t="s">
        <v>30</v>
      </c>
      <c r="D3" s="60" t="s">
        <v>88</v>
      </c>
      <c r="E3" s="5"/>
      <c r="F3" s="60"/>
      <c r="G3" s="6" t="s">
        <v>9</v>
      </c>
      <c r="H3" s="53" t="s">
        <v>376</v>
      </c>
      <c r="I3" s="3" t="s">
        <v>13</v>
      </c>
    </row>
    <row r="4" spans="1:9" ht="16.8" thickBot="1">
      <c r="A4" s="9" t="s">
        <v>14</v>
      </c>
      <c r="B4" s="10"/>
      <c r="C4" s="11"/>
      <c r="D4" s="12"/>
      <c r="E4" s="12"/>
      <c r="F4" s="12">
        <f>SUM(F3:F3)</f>
        <v>0</v>
      </c>
      <c r="G4" s="12"/>
      <c r="H4" s="13"/>
      <c r="I4" s="14"/>
    </row>
    <row r="5" spans="1:9">
      <c r="A5" s="15"/>
      <c r="B5" s="16"/>
      <c r="C5" s="15"/>
      <c r="D5" s="15"/>
      <c r="E5" s="15"/>
      <c r="F5" s="15"/>
      <c r="G5" s="15"/>
      <c r="H5" s="17"/>
      <c r="I5" s="15"/>
    </row>
    <row r="6" spans="1:9" ht="32.4">
      <c r="A6" s="17" t="s">
        <v>15</v>
      </c>
      <c r="B6" s="18"/>
      <c r="C6" s="19" t="s">
        <v>378</v>
      </c>
      <c r="D6" s="19"/>
      <c r="E6" s="19" t="s">
        <v>16</v>
      </c>
      <c r="F6" s="15"/>
      <c r="G6" s="20" t="s">
        <v>17</v>
      </c>
      <c r="H6" s="21"/>
      <c r="I6" s="15"/>
    </row>
    <row r="10" spans="1:9" ht="24" customHeight="1">
      <c r="A10" s="148" t="s">
        <v>377</v>
      </c>
      <c r="B10" s="149"/>
      <c r="C10" s="149"/>
      <c r="D10" s="149"/>
      <c r="E10" s="149"/>
      <c r="F10" s="149"/>
      <c r="G10" s="149"/>
    </row>
    <row r="11" spans="1:9" ht="28.2">
      <c r="A11" s="150"/>
      <c r="B11" s="150"/>
      <c r="C11" s="150"/>
      <c r="D11" s="150"/>
      <c r="E11" s="150"/>
      <c r="F11" s="150"/>
      <c r="G11" s="150"/>
      <c r="H11" s="22"/>
      <c r="I11" s="22"/>
    </row>
    <row r="12" spans="1:9">
      <c r="A12" s="60" t="s">
        <v>18</v>
      </c>
      <c r="B12" s="60" t="s">
        <v>19</v>
      </c>
      <c r="C12" s="60" t="s">
        <v>20</v>
      </c>
      <c r="D12" s="60" t="s">
        <v>21</v>
      </c>
      <c r="E12" s="141" t="s">
        <v>22</v>
      </c>
      <c r="F12" s="142"/>
      <c r="G12" s="60" t="s">
        <v>23</v>
      </c>
    </row>
    <row r="13" spans="1:9">
      <c r="A13" s="60" t="s">
        <v>13</v>
      </c>
      <c r="B13" s="60"/>
      <c r="C13" s="60" t="s">
        <v>88</v>
      </c>
      <c r="D13" s="60"/>
      <c r="E13" s="139"/>
      <c r="F13" s="151"/>
      <c r="G13" s="60"/>
    </row>
    <row r="14" spans="1:9">
      <c r="A14" s="60"/>
      <c r="B14" s="24"/>
      <c r="C14" s="60"/>
      <c r="D14" s="60"/>
      <c r="E14" s="141"/>
      <c r="F14" s="141"/>
      <c r="G14" s="25"/>
    </row>
    <row r="15" spans="1:9">
      <c r="A15" s="60"/>
      <c r="B15" s="24"/>
      <c r="C15" s="60"/>
      <c r="D15" s="60"/>
      <c r="E15" s="139"/>
      <c r="F15" s="152"/>
      <c r="G15" s="25"/>
    </row>
    <row r="16" spans="1:9">
      <c r="A16" s="60"/>
      <c r="B16" s="24"/>
      <c r="C16" s="60"/>
      <c r="D16" s="60"/>
      <c r="E16" s="141"/>
      <c r="F16" s="141"/>
      <c r="G16" s="25"/>
    </row>
    <row r="17" spans="1:7">
      <c r="A17" s="15"/>
      <c r="B17" s="27"/>
      <c r="C17" s="27"/>
      <c r="D17" s="27"/>
      <c r="E17" s="27"/>
      <c r="F17" s="27"/>
      <c r="G17" s="15"/>
    </row>
    <row r="18" spans="1:7" ht="32.4">
      <c r="A18" s="17" t="s">
        <v>15</v>
      </c>
      <c r="B18" s="18"/>
      <c r="C18" s="15" t="s">
        <v>378</v>
      </c>
      <c r="D18" s="19"/>
      <c r="E18" s="19" t="s">
        <v>16</v>
      </c>
      <c r="F18" s="15"/>
      <c r="G18" s="20" t="s">
        <v>26</v>
      </c>
    </row>
  </sheetData>
  <mergeCells count="7">
    <mergeCell ref="E16:F16"/>
    <mergeCell ref="A1:I1"/>
    <mergeCell ref="A10:G11"/>
    <mergeCell ref="E12:F12"/>
    <mergeCell ref="E13:F13"/>
    <mergeCell ref="E14:F14"/>
    <mergeCell ref="E15:F15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>
      <selection sqref="A1:I19"/>
    </sheetView>
  </sheetViews>
  <sheetFormatPr defaultRowHeight="16.2"/>
  <cols>
    <col min="2" max="2" width="11" bestFit="1" customWidth="1"/>
  </cols>
  <sheetData>
    <row r="1" spans="1:9" ht="24" thickBot="1">
      <c r="A1" s="153" t="s">
        <v>407</v>
      </c>
      <c r="B1" s="153"/>
      <c r="C1" s="153"/>
      <c r="D1" s="153"/>
      <c r="E1" s="153"/>
      <c r="F1" s="153"/>
      <c r="G1" s="153"/>
      <c r="H1" s="153"/>
      <c r="I1" s="153"/>
    </row>
    <row r="2" spans="1:9" ht="60" thickBot="1">
      <c r="A2" s="67" t="s">
        <v>379</v>
      </c>
      <c r="B2" s="68" t="s">
        <v>380</v>
      </c>
      <c r="C2" s="68" t="s">
        <v>381</v>
      </c>
      <c r="D2" s="68" t="s">
        <v>382</v>
      </c>
      <c r="E2" s="68" t="s">
        <v>383</v>
      </c>
      <c r="F2" s="68" t="s">
        <v>384</v>
      </c>
      <c r="G2" s="68" t="s">
        <v>385</v>
      </c>
      <c r="H2" s="68" t="s">
        <v>386</v>
      </c>
      <c r="I2" s="68" t="s">
        <v>387</v>
      </c>
    </row>
    <row r="3" spans="1:9" ht="79.8" thickBot="1">
      <c r="A3" s="69" t="s">
        <v>388</v>
      </c>
      <c r="B3" s="70">
        <v>44462</v>
      </c>
      <c r="C3" s="71" t="s">
        <v>389</v>
      </c>
      <c r="D3" s="71" t="s">
        <v>390</v>
      </c>
      <c r="E3" s="71"/>
      <c r="F3" s="71"/>
      <c r="G3" s="71" t="s">
        <v>391</v>
      </c>
      <c r="H3" s="72" t="s">
        <v>392</v>
      </c>
      <c r="I3" s="71" t="s">
        <v>393</v>
      </c>
    </row>
    <row r="4" spans="1:9" ht="99.6" thickBot="1">
      <c r="A4" s="69" t="s">
        <v>394</v>
      </c>
      <c r="B4" s="70">
        <v>44469</v>
      </c>
      <c r="C4" s="71" t="s">
        <v>389</v>
      </c>
      <c r="D4" s="71"/>
      <c r="E4" s="71"/>
      <c r="F4" s="71">
        <v>1</v>
      </c>
      <c r="G4" s="71" t="s">
        <v>391</v>
      </c>
      <c r="H4" s="71" t="s">
        <v>395</v>
      </c>
      <c r="I4" s="71" t="s">
        <v>396</v>
      </c>
    </row>
    <row r="5" spans="1:9" ht="20.399999999999999" thickBot="1">
      <c r="A5" s="69" t="s">
        <v>397</v>
      </c>
      <c r="B5" s="71"/>
      <c r="C5" s="71"/>
      <c r="D5" s="71"/>
      <c r="E5" s="71"/>
      <c r="F5" s="71"/>
      <c r="G5" s="71"/>
      <c r="H5" s="71"/>
      <c r="I5" s="71"/>
    </row>
    <row r="6" spans="1:9">
      <c r="A6" s="73"/>
    </row>
    <row r="7" spans="1:9" ht="19.8">
      <c r="A7" s="154" t="s">
        <v>398</v>
      </c>
      <c r="B7" s="154"/>
      <c r="C7" s="154"/>
      <c r="D7" s="154"/>
      <c r="E7" s="154"/>
      <c r="F7" s="154"/>
      <c r="G7" s="154"/>
      <c r="H7" s="154"/>
      <c r="I7" s="154"/>
    </row>
    <row r="8" spans="1:9">
      <c r="A8" s="75"/>
    </row>
    <row r="9" spans="1:9" ht="24" thickBot="1">
      <c r="A9" s="76" t="s">
        <v>399</v>
      </c>
    </row>
    <row r="10" spans="1:9" ht="40.200000000000003" thickBot="1">
      <c r="A10" s="77" t="s">
        <v>387</v>
      </c>
      <c r="B10" s="78" t="s">
        <v>400</v>
      </c>
      <c r="C10" s="78" t="s">
        <v>401</v>
      </c>
      <c r="D10" s="78" t="s">
        <v>402</v>
      </c>
      <c r="E10" s="78" t="s">
        <v>403</v>
      </c>
      <c r="F10" s="78" t="s">
        <v>404</v>
      </c>
    </row>
    <row r="11" spans="1:9" ht="19.8">
      <c r="A11" s="155" t="s">
        <v>393</v>
      </c>
      <c r="B11" s="155" t="s">
        <v>390</v>
      </c>
      <c r="C11" s="155">
        <v>0.5</v>
      </c>
      <c r="D11" s="155"/>
      <c r="E11" s="155"/>
      <c r="F11" s="79" t="s">
        <v>405</v>
      </c>
    </row>
    <row r="12" spans="1:9" ht="40.200000000000003" thickBot="1">
      <c r="A12" s="156"/>
      <c r="B12" s="156"/>
      <c r="C12" s="156"/>
      <c r="D12" s="156"/>
      <c r="E12" s="156"/>
      <c r="F12" s="80" t="s">
        <v>406</v>
      </c>
    </row>
    <row r="13" spans="1:9" ht="20.399999999999999" thickBot="1">
      <c r="A13" s="81" t="s">
        <v>396</v>
      </c>
      <c r="B13" s="80"/>
      <c r="C13" s="80"/>
      <c r="D13" s="80">
        <v>1</v>
      </c>
      <c r="E13" s="80"/>
      <c r="F13" s="80"/>
    </row>
    <row r="14" spans="1:9" ht="20.399999999999999" thickBot="1">
      <c r="A14" s="69" t="s">
        <v>397</v>
      </c>
      <c r="B14" s="80"/>
      <c r="C14" s="80"/>
      <c r="D14" s="80"/>
      <c r="E14" s="80"/>
      <c r="F14" s="80"/>
    </row>
    <row r="15" spans="1:9">
      <c r="A15" s="73"/>
    </row>
    <row r="16" spans="1:9" ht="19.8">
      <c r="A16" s="82" t="s">
        <v>453</v>
      </c>
    </row>
    <row r="17" spans="1:1">
      <c r="A17" s="73"/>
    </row>
    <row r="18" spans="1:1">
      <c r="A18" s="73"/>
    </row>
  </sheetData>
  <mergeCells count="7">
    <mergeCell ref="A1:I1"/>
    <mergeCell ref="A7:I7"/>
    <mergeCell ref="A11:A12"/>
    <mergeCell ref="B11:B12"/>
    <mergeCell ref="C11:C12"/>
    <mergeCell ref="D11:D12"/>
    <mergeCell ref="E11:E12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J24"/>
  <sheetViews>
    <sheetView workbookViewId="0">
      <selection sqref="A1:I19"/>
    </sheetView>
  </sheetViews>
  <sheetFormatPr defaultRowHeight="16.2"/>
  <cols>
    <col min="2" max="2" width="12.44140625" bestFit="1" customWidth="1"/>
  </cols>
  <sheetData>
    <row r="1" spans="1:10" ht="24" thickBot="1">
      <c r="A1" s="153" t="s">
        <v>408</v>
      </c>
      <c r="B1" s="153"/>
      <c r="C1" s="153"/>
      <c r="D1" s="153"/>
      <c r="E1" s="153"/>
      <c r="F1" s="153"/>
      <c r="G1" s="153"/>
      <c r="H1" s="153"/>
      <c r="I1" s="153"/>
    </row>
    <row r="2" spans="1:10" ht="60" thickBot="1">
      <c r="A2" s="67" t="s">
        <v>379</v>
      </c>
      <c r="B2" s="68" t="s">
        <v>380</v>
      </c>
      <c r="C2" s="68" t="s">
        <v>381</v>
      </c>
      <c r="D2" s="68" t="s">
        <v>382</v>
      </c>
      <c r="E2" s="68" t="s">
        <v>383</v>
      </c>
      <c r="F2" s="68" t="s">
        <v>384</v>
      </c>
      <c r="G2" s="68" t="s">
        <v>385</v>
      </c>
      <c r="H2" s="68" t="s">
        <v>386</v>
      </c>
      <c r="I2" s="68" t="s">
        <v>387</v>
      </c>
    </row>
    <row r="3" spans="1:10" ht="20.399999999999999" thickBot="1">
      <c r="A3" s="69" t="s">
        <v>409</v>
      </c>
      <c r="B3" s="70">
        <v>44482</v>
      </c>
      <c r="C3" s="71" t="s">
        <v>410</v>
      </c>
      <c r="D3" s="71"/>
      <c r="E3" s="71"/>
      <c r="F3" s="71">
        <v>2</v>
      </c>
      <c r="G3" s="71" t="s">
        <v>411</v>
      </c>
      <c r="H3" s="71"/>
      <c r="I3" s="71" t="s">
        <v>412</v>
      </c>
    </row>
    <row r="4" spans="1:10" ht="20.399999999999999" thickBot="1">
      <c r="A4" s="69" t="s">
        <v>409</v>
      </c>
      <c r="B4" s="70">
        <v>44482</v>
      </c>
      <c r="C4" s="71" t="s">
        <v>410</v>
      </c>
      <c r="D4" s="71"/>
      <c r="E4" s="71"/>
      <c r="F4" s="71">
        <v>1</v>
      </c>
      <c r="G4" s="71" t="s">
        <v>411</v>
      </c>
      <c r="H4" s="71"/>
      <c r="I4" s="71" t="s">
        <v>413</v>
      </c>
    </row>
    <row r="5" spans="1:10" ht="20.399999999999999" thickBot="1">
      <c r="A5" s="69" t="s">
        <v>409</v>
      </c>
      <c r="B5" s="70">
        <v>44484</v>
      </c>
      <c r="C5" s="71" t="s">
        <v>414</v>
      </c>
      <c r="D5" s="71"/>
      <c r="E5" s="71"/>
      <c r="F5" s="71">
        <v>2</v>
      </c>
      <c r="G5" s="71" t="s">
        <v>411</v>
      </c>
      <c r="H5" s="72"/>
      <c r="I5" s="71" t="s">
        <v>394</v>
      </c>
    </row>
    <row r="6" spans="1:10" ht="20.399999999999999" thickBot="1">
      <c r="A6" s="69" t="s">
        <v>409</v>
      </c>
      <c r="B6" s="70">
        <v>44489</v>
      </c>
      <c r="C6" s="71" t="s">
        <v>410</v>
      </c>
      <c r="D6" s="71"/>
      <c r="E6" s="71"/>
      <c r="F6" s="71">
        <v>2</v>
      </c>
      <c r="G6" s="71" t="s">
        <v>411</v>
      </c>
      <c r="H6" s="72"/>
      <c r="I6" s="71" t="s">
        <v>412</v>
      </c>
    </row>
    <row r="7" spans="1:10" ht="20.399999999999999" thickBot="1">
      <c r="A7" s="69" t="s">
        <v>409</v>
      </c>
      <c r="B7" s="70">
        <v>44489</v>
      </c>
      <c r="C7" s="71" t="s">
        <v>410</v>
      </c>
      <c r="D7" s="71"/>
      <c r="E7" s="71"/>
      <c r="F7" s="71">
        <v>1</v>
      </c>
      <c r="G7" s="71" t="s">
        <v>411</v>
      </c>
      <c r="H7" s="72"/>
      <c r="I7" s="71" t="s">
        <v>413</v>
      </c>
    </row>
    <row r="8" spans="1:10" ht="20.399999999999999" thickBot="1">
      <c r="A8" s="69" t="s">
        <v>409</v>
      </c>
      <c r="B8" s="70">
        <v>44491</v>
      </c>
      <c r="C8" s="71" t="s">
        <v>414</v>
      </c>
      <c r="D8" s="71"/>
      <c r="E8" s="71"/>
      <c r="F8" s="71">
        <v>1</v>
      </c>
      <c r="G8" s="71" t="s">
        <v>411</v>
      </c>
      <c r="H8" s="72"/>
      <c r="I8" s="71" t="s">
        <v>415</v>
      </c>
    </row>
    <row r="9" spans="1:10" ht="20.399999999999999" thickBot="1">
      <c r="A9" s="69" t="s">
        <v>409</v>
      </c>
      <c r="B9" s="70">
        <v>44491</v>
      </c>
      <c r="C9" s="71" t="s">
        <v>414</v>
      </c>
      <c r="D9" s="71"/>
      <c r="E9" s="71"/>
      <c r="F9" s="71">
        <v>1</v>
      </c>
      <c r="G9" s="71" t="s">
        <v>411</v>
      </c>
      <c r="H9" s="72"/>
      <c r="I9" s="71" t="s">
        <v>394</v>
      </c>
    </row>
    <row r="10" spans="1:10" ht="20.399999999999999" thickBot="1">
      <c r="A10" s="69" t="s">
        <v>409</v>
      </c>
      <c r="B10" s="70">
        <v>44496</v>
      </c>
      <c r="C10" s="71" t="s">
        <v>410</v>
      </c>
      <c r="D10" s="71"/>
      <c r="E10" s="71"/>
      <c r="F10" s="71">
        <v>2</v>
      </c>
      <c r="G10" s="71" t="s">
        <v>411</v>
      </c>
      <c r="H10" s="72"/>
      <c r="I10" s="71" t="s">
        <v>412</v>
      </c>
    </row>
    <row r="11" spans="1:10" ht="20.399999999999999" thickBot="1">
      <c r="A11" s="69" t="s">
        <v>409</v>
      </c>
      <c r="B11" s="70">
        <v>44496</v>
      </c>
      <c r="C11" s="71" t="s">
        <v>410</v>
      </c>
      <c r="D11" s="71"/>
      <c r="E11" s="71"/>
      <c r="F11" s="71">
        <v>1</v>
      </c>
      <c r="G11" s="71" t="s">
        <v>411</v>
      </c>
      <c r="H11" s="72"/>
      <c r="I11" s="71" t="s">
        <v>413</v>
      </c>
    </row>
    <row r="12" spans="1:10" ht="20.399999999999999" thickBot="1">
      <c r="A12" s="69" t="s">
        <v>409</v>
      </c>
      <c r="B12" s="70">
        <v>44498</v>
      </c>
      <c r="C12" s="71" t="s">
        <v>414</v>
      </c>
      <c r="D12" s="71"/>
      <c r="E12" s="71"/>
      <c r="F12" s="71">
        <v>1</v>
      </c>
      <c r="G12" s="71" t="s">
        <v>411</v>
      </c>
      <c r="H12" s="72"/>
      <c r="I12" s="71" t="s">
        <v>413</v>
      </c>
    </row>
    <row r="13" spans="1:10" ht="20.399999999999999" thickBot="1">
      <c r="A13" s="69" t="s">
        <v>397</v>
      </c>
      <c r="B13" s="71"/>
      <c r="C13" s="71"/>
      <c r="D13" s="71"/>
      <c r="E13" s="71"/>
      <c r="F13" s="71">
        <v>14</v>
      </c>
      <c r="G13" s="71"/>
      <c r="H13" s="71"/>
      <c r="I13" s="71"/>
    </row>
    <row r="14" spans="1:10">
      <c r="A14" s="73"/>
    </row>
    <row r="15" spans="1:10" ht="19.8">
      <c r="A15" s="154" t="s">
        <v>416</v>
      </c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>
      <c r="A16" s="75"/>
    </row>
    <row r="17" spans="1:10" ht="24" thickBot="1">
      <c r="A17" s="76" t="s">
        <v>417</v>
      </c>
    </row>
    <row r="18" spans="1:10" ht="40.200000000000003" thickBot="1">
      <c r="A18" s="77" t="s">
        <v>387</v>
      </c>
      <c r="B18" s="78" t="s">
        <v>400</v>
      </c>
      <c r="C18" s="78" t="s">
        <v>401</v>
      </c>
      <c r="D18" s="78" t="s">
        <v>402</v>
      </c>
      <c r="E18" s="78" t="s">
        <v>403</v>
      </c>
      <c r="F18" s="78" t="s">
        <v>404</v>
      </c>
    </row>
    <row r="19" spans="1:10" ht="20.399999999999999" thickBot="1">
      <c r="A19" s="69" t="s">
        <v>412</v>
      </c>
      <c r="B19" s="80"/>
      <c r="C19" s="80"/>
      <c r="D19" s="80">
        <v>6</v>
      </c>
      <c r="E19" s="80"/>
      <c r="F19" s="80"/>
    </row>
    <row r="20" spans="1:10" ht="20.399999999999999" thickBot="1">
      <c r="A20" s="69" t="s">
        <v>394</v>
      </c>
      <c r="B20" s="80"/>
      <c r="C20" s="80"/>
      <c r="D20" s="80">
        <v>3</v>
      </c>
      <c r="E20" s="80"/>
      <c r="F20" s="80"/>
    </row>
    <row r="21" spans="1:10" ht="20.399999999999999" thickBot="1">
      <c r="A21" s="69" t="s">
        <v>413</v>
      </c>
      <c r="B21" s="80"/>
      <c r="C21" s="80"/>
      <c r="D21" s="80">
        <v>4</v>
      </c>
      <c r="E21" s="80"/>
      <c r="F21" s="80"/>
    </row>
    <row r="22" spans="1:10" ht="20.399999999999999" thickBot="1">
      <c r="A22" s="69" t="s">
        <v>415</v>
      </c>
      <c r="B22" s="80"/>
      <c r="C22" s="80"/>
      <c r="D22" s="80">
        <v>1</v>
      </c>
      <c r="E22" s="80"/>
      <c r="F22" s="80"/>
    </row>
    <row r="23" spans="1:10" ht="20.399999999999999" thickBot="1">
      <c r="A23" s="81" t="s">
        <v>418</v>
      </c>
      <c r="B23" s="80"/>
      <c r="C23" s="80"/>
      <c r="D23" s="80">
        <v>14</v>
      </c>
      <c r="E23" s="80"/>
      <c r="F23" s="80"/>
    </row>
    <row r="24" spans="1:10" ht="19.8">
      <c r="A24" s="154" t="s">
        <v>416</v>
      </c>
      <c r="B24" s="154"/>
      <c r="C24" s="154"/>
      <c r="D24" s="154"/>
      <c r="E24" s="154"/>
      <c r="F24" s="154"/>
      <c r="G24" s="154"/>
      <c r="H24" s="154"/>
      <c r="I24" s="154"/>
      <c r="J24" s="154"/>
    </row>
  </sheetData>
  <mergeCells count="3">
    <mergeCell ref="A1:I1"/>
    <mergeCell ref="A15:J15"/>
    <mergeCell ref="A24:J24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topLeftCell="A7" workbookViewId="0">
      <selection sqref="A1:I19"/>
    </sheetView>
  </sheetViews>
  <sheetFormatPr defaultRowHeight="16.2"/>
  <cols>
    <col min="2" max="2" width="10.44140625" bestFit="1" customWidth="1"/>
  </cols>
  <sheetData>
    <row r="1" spans="1:9" ht="24" thickBot="1">
      <c r="A1" s="153" t="s">
        <v>419</v>
      </c>
      <c r="B1" s="153"/>
      <c r="C1" s="153"/>
      <c r="D1" s="153"/>
      <c r="E1" s="153"/>
      <c r="F1" s="153"/>
      <c r="G1" s="153"/>
      <c r="H1" s="153"/>
      <c r="I1" s="153"/>
    </row>
    <row r="2" spans="1:9" ht="39" customHeight="1">
      <c r="A2" s="157" t="s">
        <v>379</v>
      </c>
      <c r="B2" s="157" t="s">
        <v>380</v>
      </c>
      <c r="C2" s="157" t="s">
        <v>381</v>
      </c>
      <c r="D2" s="157" t="s">
        <v>382</v>
      </c>
      <c r="E2" s="157" t="s">
        <v>383</v>
      </c>
      <c r="F2" s="157" t="s">
        <v>384</v>
      </c>
      <c r="G2" s="157" t="s">
        <v>385</v>
      </c>
      <c r="H2" s="157" t="s">
        <v>386</v>
      </c>
      <c r="I2" s="83" t="s">
        <v>420</v>
      </c>
    </row>
    <row r="3" spans="1:9" ht="20.399999999999999" thickBot="1">
      <c r="A3" s="158"/>
      <c r="B3" s="158"/>
      <c r="C3" s="158"/>
      <c r="D3" s="158"/>
      <c r="E3" s="158"/>
      <c r="F3" s="158"/>
      <c r="G3" s="158"/>
      <c r="H3" s="158"/>
      <c r="I3" s="71" t="s">
        <v>421</v>
      </c>
    </row>
    <row r="4" spans="1:9" ht="65.400000000000006" thickBot="1">
      <c r="A4" s="84" t="s">
        <v>388</v>
      </c>
      <c r="B4" s="85">
        <v>44532</v>
      </c>
      <c r="C4" s="86" t="s">
        <v>389</v>
      </c>
      <c r="D4" s="86" t="s">
        <v>422</v>
      </c>
      <c r="E4" s="86"/>
      <c r="F4" s="86"/>
      <c r="G4" s="86" t="s">
        <v>391</v>
      </c>
      <c r="H4" s="86" t="s">
        <v>423</v>
      </c>
      <c r="I4" s="86" t="s">
        <v>393</v>
      </c>
    </row>
    <row r="5" spans="1:9" ht="65.400000000000006" thickBot="1">
      <c r="A5" s="84" t="s">
        <v>388</v>
      </c>
      <c r="B5" s="85">
        <v>44533</v>
      </c>
      <c r="C5" s="86" t="s">
        <v>414</v>
      </c>
      <c r="D5" s="86" t="s">
        <v>422</v>
      </c>
      <c r="E5" s="86"/>
      <c r="F5" s="86"/>
      <c r="G5" s="86" t="s">
        <v>391</v>
      </c>
      <c r="H5" s="86" t="s">
        <v>423</v>
      </c>
      <c r="I5" s="86" t="s">
        <v>424</v>
      </c>
    </row>
    <row r="6" spans="1:9" ht="65.400000000000006" thickBot="1">
      <c r="A6" s="84" t="s">
        <v>409</v>
      </c>
      <c r="B6" s="85">
        <v>44538</v>
      </c>
      <c r="C6" s="86" t="s">
        <v>410</v>
      </c>
      <c r="D6" s="86"/>
      <c r="E6" s="86"/>
      <c r="F6" s="86">
        <v>2</v>
      </c>
      <c r="G6" s="86" t="s">
        <v>391</v>
      </c>
      <c r="H6" s="86" t="s">
        <v>425</v>
      </c>
      <c r="I6" s="86" t="s">
        <v>412</v>
      </c>
    </row>
    <row r="7" spans="1:9" ht="65.400000000000006" thickBot="1">
      <c r="A7" s="84" t="s">
        <v>394</v>
      </c>
      <c r="B7" s="85">
        <v>44539</v>
      </c>
      <c r="C7" s="86" t="s">
        <v>389</v>
      </c>
      <c r="D7" s="86"/>
      <c r="E7" s="86"/>
      <c r="F7" s="86">
        <v>1</v>
      </c>
      <c r="G7" s="86" t="s">
        <v>391</v>
      </c>
      <c r="H7" s="86" t="s">
        <v>426</v>
      </c>
      <c r="I7" s="86" t="s">
        <v>415</v>
      </c>
    </row>
    <row r="8" spans="1:9" ht="65.400000000000006" thickBot="1">
      <c r="A8" s="84" t="s">
        <v>394</v>
      </c>
      <c r="B8" s="85">
        <v>44539</v>
      </c>
      <c r="C8" s="86" t="s">
        <v>389</v>
      </c>
      <c r="D8" s="86"/>
      <c r="E8" s="86"/>
      <c r="F8" s="86">
        <v>1</v>
      </c>
      <c r="G8" s="86" t="s">
        <v>391</v>
      </c>
      <c r="H8" s="86" t="s">
        <v>426</v>
      </c>
      <c r="I8" s="86" t="s">
        <v>396</v>
      </c>
    </row>
    <row r="9" spans="1:9" ht="16.8" thickBot="1">
      <c r="A9" s="84" t="s">
        <v>409</v>
      </c>
      <c r="B9" s="85">
        <v>44552</v>
      </c>
      <c r="C9" s="86" t="s">
        <v>410</v>
      </c>
      <c r="D9" s="86"/>
      <c r="E9" s="86"/>
      <c r="F9" s="86">
        <v>2</v>
      </c>
      <c r="G9" s="86" t="s">
        <v>411</v>
      </c>
      <c r="H9" s="87"/>
      <c r="I9" s="86" t="s">
        <v>412</v>
      </c>
    </row>
    <row r="10" spans="1:9" ht="16.8" thickBot="1">
      <c r="A10" s="84" t="s">
        <v>409</v>
      </c>
      <c r="B10" s="85">
        <v>44552</v>
      </c>
      <c r="C10" s="86" t="s">
        <v>410</v>
      </c>
      <c r="D10" s="86"/>
      <c r="E10" s="86"/>
      <c r="F10" s="86">
        <v>1</v>
      </c>
      <c r="G10" s="86" t="s">
        <v>411</v>
      </c>
      <c r="H10" s="87"/>
      <c r="I10" s="86" t="s">
        <v>413</v>
      </c>
    </row>
    <row r="11" spans="1:9" ht="81.599999999999994" thickBot="1">
      <c r="A11" s="84" t="s">
        <v>427</v>
      </c>
      <c r="B11" s="85">
        <v>44553</v>
      </c>
      <c r="C11" s="86" t="s">
        <v>389</v>
      </c>
      <c r="D11" s="86" t="s">
        <v>390</v>
      </c>
      <c r="E11" s="86"/>
      <c r="F11" s="86"/>
      <c r="G11" s="86" t="s">
        <v>391</v>
      </c>
      <c r="H11" s="86" t="s">
        <v>428</v>
      </c>
      <c r="I11" s="86" t="s">
        <v>413</v>
      </c>
    </row>
    <row r="12" spans="1:9" ht="16.8" thickBot="1">
      <c r="A12" s="84" t="s">
        <v>397</v>
      </c>
      <c r="B12" s="86"/>
      <c r="C12" s="86"/>
      <c r="D12" s="86"/>
      <c r="E12" s="86"/>
      <c r="F12" s="86"/>
      <c r="G12" s="86"/>
      <c r="H12" s="86"/>
      <c r="I12" s="86"/>
    </row>
    <row r="13" spans="1:9">
      <c r="A13" s="73"/>
    </row>
    <row r="14" spans="1:9" ht="19.8">
      <c r="A14" s="154" t="s">
        <v>398</v>
      </c>
      <c r="B14" s="154"/>
      <c r="C14" s="154"/>
      <c r="D14" s="154"/>
      <c r="E14" s="154"/>
      <c r="F14" s="154"/>
      <c r="G14" s="154"/>
      <c r="H14" s="154"/>
      <c r="I14" s="154"/>
    </row>
    <row r="15" spans="1:9">
      <c r="A15" s="73"/>
    </row>
    <row r="16" spans="1:9" ht="24" thickBot="1">
      <c r="A16" s="76" t="s">
        <v>429</v>
      </c>
    </row>
    <row r="17" spans="1:7" ht="33" thickBot="1">
      <c r="A17" s="88" t="s">
        <v>387</v>
      </c>
      <c r="B17" s="89" t="s">
        <v>400</v>
      </c>
      <c r="C17" s="89" t="s">
        <v>401</v>
      </c>
      <c r="D17" s="89" t="s">
        <v>402</v>
      </c>
      <c r="E17" s="89" t="s">
        <v>403</v>
      </c>
      <c r="F17" s="89" t="s">
        <v>404</v>
      </c>
    </row>
    <row r="18" spans="1:7">
      <c r="A18" s="159" t="s">
        <v>393</v>
      </c>
      <c r="B18" s="159" t="s">
        <v>422</v>
      </c>
      <c r="C18" s="159" t="s">
        <v>422</v>
      </c>
      <c r="D18" s="159"/>
      <c r="E18" s="159"/>
      <c r="F18" s="90" t="s">
        <v>405</v>
      </c>
    </row>
    <row r="19" spans="1:7" ht="33" thickBot="1">
      <c r="A19" s="160"/>
      <c r="B19" s="160"/>
      <c r="C19" s="160"/>
      <c r="D19" s="160"/>
      <c r="E19" s="160"/>
      <c r="F19" s="86" t="s">
        <v>406</v>
      </c>
    </row>
    <row r="20" spans="1:7">
      <c r="A20" s="159" t="s">
        <v>424</v>
      </c>
      <c r="B20" s="159" t="s">
        <v>422</v>
      </c>
      <c r="C20" s="159" t="s">
        <v>422</v>
      </c>
      <c r="D20" s="159"/>
      <c r="E20" s="159"/>
      <c r="F20" s="90" t="s">
        <v>405</v>
      </c>
    </row>
    <row r="21" spans="1:7" ht="33" thickBot="1">
      <c r="A21" s="160"/>
      <c r="B21" s="160"/>
      <c r="C21" s="160"/>
      <c r="D21" s="160"/>
      <c r="E21" s="160"/>
      <c r="F21" s="86" t="s">
        <v>406</v>
      </c>
    </row>
    <row r="22" spans="1:7" ht="16.8" thickBot="1">
      <c r="A22" s="84" t="s">
        <v>412</v>
      </c>
      <c r="B22" s="86"/>
      <c r="C22" s="86"/>
      <c r="D22" s="86" t="s">
        <v>430</v>
      </c>
      <c r="E22" s="86"/>
      <c r="F22" s="86"/>
    </row>
    <row r="23" spans="1:7" ht="16.8" thickBot="1">
      <c r="A23" s="84" t="s">
        <v>415</v>
      </c>
      <c r="B23" s="86"/>
      <c r="C23" s="86"/>
      <c r="D23" s="86" t="s">
        <v>431</v>
      </c>
      <c r="E23" s="86"/>
      <c r="F23" s="86"/>
    </row>
    <row r="24" spans="1:7" ht="16.8" thickBot="1">
      <c r="A24" s="84" t="s">
        <v>396</v>
      </c>
      <c r="B24" s="86"/>
      <c r="C24" s="86"/>
      <c r="D24" s="86" t="s">
        <v>431</v>
      </c>
      <c r="E24" s="86"/>
      <c r="F24" s="86"/>
    </row>
    <row r="25" spans="1:7" ht="33" thickBot="1">
      <c r="A25" s="84" t="s">
        <v>413</v>
      </c>
      <c r="B25" s="86" t="s">
        <v>390</v>
      </c>
      <c r="C25" s="86" t="s">
        <v>432</v>
      </c>
      <c r="D25" s="86" t="s">
        <v>431</v>
      </c>
      <c r="E25" s="86"/>
      <c r="F25" s="86"/>
    </row>
    <row r="26" spans="1:7" ht="16.8" thickBot="1">
      <c r="A26" s="84" t="s">
        <v>397</v>
      </c>
      <c r="B26" s="86"/>
      <c r="C26" s="86"/>
      <c r="D26" s="86"/>
      <c r="E26" s="86"/>
      <c r="F26" s="86"/>
    </row>
    <row r="27" spans="1:7" ht="19.8">
      <c r="A27" s="93" t="s">
        <v>398</v>
      </c>
      <c r="B27" s="93"/>
      <c r="C27" s="93"/>
      <c r="D27" s="93"/>
      <c r="E27" s="93"/>
      <c r="F27" s="93"/>
      <c r="G27" s="93"/>
    </row>
  </sheetData>
  <mergeCells count="20">
    <mergeCell ref="A20:A21"/>
    <mergeCell ref="B20:B21"/>
    <mergeCell ref="C20:C21"/>
    <mergeCell ref="D20:D21"/>
    <mergeCell ref="E20:E21"/>
    <mergeCell ref="A1:I1"/>
    <mergeCell ref="G2:G3"/>
    <mergeCell ref="H2:H3"/>
    <mergeCell ref="A18:A19"/>
    <mergeCell ref="B18:B19"/>
    <mergeCell ref="C18:C19"/>
    <mergeCell ref="D18:D19"/>
    <mergeCell ref="E18:E19"/>
    <mergeCell ref="A2:A3"/>
    <mergeCell ref="B2:B3"/>
    <mergeCell ref="C2:C3"/>
    <mergeCell ref="D2:D3"/>
    <mergeCell ref="E2:E3"/>
    <mergeCell ref="F2:F3"/>
    <mergeCell ref="A14:I14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2"/>
  <sheetViews>
    <sheetView workbookViewId="0">
      <selection sqref="A1:I19"/>
    </sheetView>
  </sheetViews>
  <sheetFormatPr defaultRowHeight="16.2"/>
  <cols>
    <col min="2" max="2" width="10.44140625" bestFit="1" customWidth="1"/>
  </cols>
  <sheetData>
    <row r="1" spans="1:9" ht="24" thickBot="1">
      <c r="A1" s="153" t="s">
        <v>433</v>
      </c>
      <c r="B1" s="153"/>
      <c r="C1" s="153"/>
      <c r="D1" s="153"/>
      <c r="E1" s="153"/>
      <c r="F1" s="153"/>
      <c r="G1" s="153"/>
      <c r="H1" s="153"/>
      <c r="I1" s="153"/>
    </row>
    <row r="2" spans="1:9" ht="39" customHeight="1">
      <c r="A2" s="157" t="s">
        <v>379</v>
      </c>
      <c r="B2" s="157" t="s">
        <v>380</v>
      </c>
      <c r="C2" s="157" t="s">
        <v>381</v>
      </c>
      <c r="D2" s="157" t="s">
        <v>382</v>
      </c>
      <c r="E2" s="157" t="s">
        <v>383</v>
      </c>
      <c r="F2" s="157" t="s">
        <v>384</v>
      </c>
      <c r="G2" s="157" t="s">
        <v>385</v>
      </c>
      <c r="H2" s="157" t="s">
        <v>386</v>
      </c>
      <c r="I2" s="83" t="s">
        <v>420</v>
      </c>
    </row>
    <row r="3" spans="1:9" ht="20.399999999999999" thickBot="1">
      <c r="A3" s="158"/>
      <c r="B3" s="158"/>
      <c r="C3" s="158"/>
      <c r="D3" s="158"/>
      <c r="E3" s="158"/>
      <c r="F3" s="158"/>
      <c r="G3" s="158"/>
      <c r="H3" s="158"/>
      <c r="I3" s="71" t="s">
        <v>421</v>
      </c>
    </row>
    <row r="4" spans="1:9" ht="65.400000000000006" thickBot="1">
      <c r="A4" s="84" t="s">
        <v>388</v>
      </c>
      <c r="B4" s="85">
        <v>44555</v>
      </c>
      <c r="C4" s="86" t="s">
        <v>434</v>
      </c>
      <c r="D4" s="86" t="s">
        <v>422</v>
      </c>
      <c r="E4" s="86"/>
      <c r="F4" s="86"/>
      <c r="G4" s="86" t="s">
        <v>391</v>
      </c>
      <c r="H4" s="91" t="s">
        <v>435</v>
      </c>
      <c r="I4" s="86" t="s">
        <v>436</v>
      </c>
    </row>
    <row r="5" spans="1:9" ht="65.400000000000006" thickBot="1">
      <c r="A5" s="84" t="s">
        <v>388</v>
      </c>
      <c r="B5" s="85">
        <v>44202</v>
      </c>
      <c r="C5" s="86" t="s">
        <v>389</v>
      </c>
      <c r="D5" s="86" t="s">
        <v>422</v>
      </c>
      <c r="E5" s="86"/>
      <c r="F5" s="86"/>
      <c r="G5" s="86" t="s">
        <v>391</v>
      </c>
      <c r="H5" s="91" t="s">
        <v>435</v>
      </c>
      <c r="I5" s="86" t="s">
        <v>437</v>
      </c>
    </row>
    <row r="6" spans="1:9" ht="65.400000000000006" thickBot="1">
      <c r="A6" s="84" t="s">
        <v>413</v>
      </c>
      <c r="B6" s="85">
        <v>44214</v>
      </c>
      <c r="C6" s="86" t="s">
        <v>438</v>
      </c>
      <c r="D6" s="86"/>
      <c r="E6" s="86"/>
      <c r="F6" s="86">
        <v>1</v>
      </c>
      <c r="G6" s="86" t="s">
        <v>391</v>
      </c>
      <c r="H6" s="91" t="s">
        <v>439</v>
      </c>
      <c r="I6" s="86" t="s">
        <v>440</v>
      </c>
    </row>
    <row r="7" spans="1:9" ht="16.8" thickBot="1">
      <c r="A7" s="84" t="s">
        <v>397</v>
      </c>
      <c r="B7" s="86"/>
      <c r="C7" s="86"/>
      <c r="D7" s="86"/>
      <c r="E7" s="86"/>
      <c r="F7" s="86"/>
      <c r="G7" s="86"/>
      <c r="H7" s="86"/>
      <c r="I7" s="86"/>
    </row>
    <row r="8" spans="1:9">
      <c r="A8" s="73"/>
    </row>
    <row r="9" spans="1:9" ht="19.8">
      <c r="A9" s="154" t="s">
        <v>398</v>
      </c>
      <c r="B9" s="154"/>
      <c r="C9" s="154"/>
      <c r="D9" s="154"/>
      <c r="E9" s="154"/>
      <c r="F9" s="154"/>
      <c r="G9" s="154"/>
      <c r="H9" s="154"/>
      <c r="I9" s="154"/>
    </row>
    <row r="10" spans="1:9">
      <c r="A10" s="73"/>
    </row>
    <row r="11" spans="1:9">
      <c r="A11" s="73"/>
    </row>
    <row r="12" spans="1:9">
      <c r="A12" s="73"/>
    </row>
    <row r="13" spans="1:9" ht="24" thickBot="1">
      <c r="A13" s="66" t="s">
        <v>441</v>
      </c>
    </row>
    <row r="14" spans="1:9" ht="33" thickBot="1">
      <c r="A14" s="88" t="s">
        <v>387</v>
      </c>
      <c r="B14" s="89" t="s">
        <v>400</v>
      </c>
      <c r="C14" s="89" t="s">
        <v>401</v>
      </c>
      <c r="D14" s="89" t="s">
        <v>402</v>
      </c>
      <c r="E14" s="89" t="s">
        <v>403</v>
      </c>
      <c r="F14" s="89" t="s">
        <v>404</v>
      </c>
    </row>
    <row r="15" spans="1:9">
      <c r="A15" s="159" t="s">
        <v>436</v>
      </c>
      <c r="B15" s="159" t="s">
        <v>422</v>
      </c>
      <c r="C15" s="159" t="s">
        <v>422</v>
      </c>
      <c r="D15" s="159"/>
      <c r="E15" s="159"/>
      <c r="F15" s="90" t="s">
        <v>405</v>
      </c>
    </row>
    <row r="16" spans="1:9" ht="33" thickBot="1">
      <c r="A16" s="160"/>
      <c r="B16" s="160"/>
      <c r="C16" s="160"/>
      <c r="D16" s="160"/>
      <c r="E16" s="160"/>
      <c r="F16" s="86" t="s">
        <v>406</v>
      </c>
    </row>
    <row r="17" spans="1:6">
      <c r="A17" s="159" t="s">
        <v>393</v>
      </c>
      <c r="B17" s="159" t="s">
        <v>422</v>
      </c>
      <c r="C17" s="159" t="s">
        <v>422</v>
      </c>
      <c r="D17" s="159"/>
      <c r="E17" s="159"/>
      <c r="F17" s="90" t="s">
        <v>405</v>
      </c>
    </row>
    <row r="18" spans="1:6" ht="33" thickBot="1">
      <c r="A18" s="160"/>
      <c r="B18" s="160"/>
      <c r="C18" s="160"/>
      <c r="D18" s="160"/>
      <c r="E18" s="160"/>
      <c r="F18" s="86" t="s">
        <v>406</v>
      </c>
    </row>
    <row r="19" spans="1:6" ht="16.8" thickBot="1">
      <c r="A19" s="84" t="s">
        <v>440</v>
      </c>
      <c r="B19" s="86"/>
      <c r="C19" s="86"/>
      <c r="D19" s="86" t="s">
        <v>431</v>
      </c>
      <c r="E19" s="86"/>
      <c r="F19" s="86"/>
    </row>
    <row r="20" spans="1:6" ht="16.8" thickBot="1">
      <c r="A20" s="84" t="s">
        <v>397</v>
      </c>
      <c r="B20" s="86"/>
      <c r="C20" s="86"/>
      <c r="D20" s="86"/>
      <c r="E20" s="86"/>
      <c r="F20" s="86"/>
    </row>
    <row r="21" spans="1:6" ht="19.8">
      <c r="A21" s="92" t="s">
        <v>398</v>
      </c>
      <c r="B21" s="92"/>
      <c r="C21" s="92"/>
      <c r="D21" s="92"/>
      <c r="E21" s="92"/>
      <c r="F21" s="92"/>
    </row>
    <row r="22" spans="1:6" ht="19.8">
      <c r="A22" s="74"/>
    </row>
  </sheetData>
  <mergeCells count="20">
    <mergeCell ref="A17:A18"/>
    <mergeCell ref="B17:B18"/>
    <mergeCell ref="C17:C18"/>
    <mergeCell ref="D17:D18"/>
    <mergeCell ref="E17:E18"/>
    <mergeCell ref="A1:I1"/>
    <mergeCell ref="G2:G3"/>
    <mergeCell ref="H2:H3"/>
    <mergeCell ref="A15:A16"/>
    <mergeCell ref="B15:B16"/>
    <mergeCell ref="C15:C16"/>
    <mergeCell ref="D15:D16"/>
    <mergeCell ref="E15:E16"/>
    <mergeCell ref="A2:A3"/>
    <mergeCell ref="B2:B3"/>
    <mergeCell ref="C2:C3"/>
    <mergeCell ref="D2:D3"/>
    <mergeCell ref="E2:E3"/>
    <mergeCell ref="F2:F3"/>
    <mergeCell ref="A9:I9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8"/>
  <sheetViews>
    <sheetView workbookViewId="0">
      <selection sqref="A1:I19"/>
    </sheetView>
  </sheetViews>
  <sheetFormatPr defaultRowHeight="16.2"/>
  <sheetData>
    <row r="1" spans="1:9" ht="24" thickBot="1">
      <c r="A1" s="153" t="s">
        <v>442</v>
      </c>
      <c r="B1" s="153"/>
      <c r="C1" s="153"/>
      <c r="D1" s="153"/>
      <c r="E1" s="153"/>
      <c r="F1" s="153"/>
      <c r="G1" s="153"/>
      <c r="H1" s="153"/>
      <c r="I1" s="153"/>
    </row>
    <row r="2" spans="1:9" ht="39" customHeight="1">
      <c r="A2" s="157" t="s">
        <v>379</v>
      </c>
      <c r="B2" s="157" t="s">
        <v>380</v>
      </c>
      <c r="C2" s="157" t="s">
        <v>381</v>
      </c>
      <c r="D2" s="157" t="s">
        <v>382</v>
      </c>
      <c r="E2" s="157" t="s">
        <v>383</v>
      </c>
      <c r="F2" s="157" t="s">
        <v>384</v>
      </c>
      <c r="G2" s="157" t="s">
        <v>385</v>
      </c>
      <c r="H2" s="157" t="s">
        <v>386</v>
      </c>
      <c r="I2" s="83" t="s">
        <v>420</v>
      </c>
    </row>
    <row r="3" spans="1:9" ht="20.399999999999999" thickBot="1">
      <c r="A3" s="158"/>
      <c r="B3" s="158"/>
      <c r="C3" s="158"/>
      <c r="D3" s="158"/>
      <c r="E3" s="158"/>
      <c r="F3" s="158"/>
      <c r="G3" s="158"/>
      <c r="H3" s="158"/>
      <c r="I3" s="71" t="s">
        <v>421</v>
      </c>
    </row>
    <row r="4" spans="1:9" ht="65.400000000000006" thickBot="1">
      <c r="A4" s="84" t="s">
        <v>396</v>
      </c>
      <c r="B4" s="85">
        <v>44271</v>
      </c>
      <c r="C4" s="86" t="s">
        <v>410</v>
      </c>
      <c r="D4" s="86" t="s">
        <v>422</v>
      </c>
      <c r="E4" s="86"/>
      <c r="F4" s="86"/>
      <c r="G4" s="86" t="s">
        <v>391</v>
      </c>
      <c r="H4" s="91" t="s">
        <v>443</v>
      </c>
      <c r="I4" s="86" t="s">
        <v>393</v>
      </c>
    </row>
    <row r="5" spans="1:9" ht="65.400000000000006" thickBot="1">
      <c r="A5" s="84" t="s">
        <v>409</v>
      </c>
      <c r="B5" s="85">
        <v>44281</v>
      </c>
      <c r="C5" s="86" t="s">
        <v>434</v>
      </c>
      <c r="D5" s="86"/>
      <c r="E5" s="86"/>
      <c r="F5" s="86">
        <v>1</v>
      </c>
      <c r="G5" s="86" t="s">
        <v>391</v>
      </c>
      <c r="H5" s="91" t="s">
        <v>444</v>
      </c>
      <c r="I5" s="86" t="s">
        <v>424</v>
      </c>
    </row>
    <row r="6" spans="1:9" ht="16.8" thickBot="1">
      <c r="A6" s="84" t="s">
        <v>440</v>
      </c>
      <c r="B6" s="85">
        <v>44281</v>
      </c>
      <c r="C6" s="86" t="s">
        <v>434</v>
      </c>
      <c r="D6" s="86"/>
      <c r="E6" s="86" t="s">
        <v>438</v>
      </c>
      <c r="F6" s="86">
        <v>1</v>
      </c>
      <c r="G6" s="86" t="s">
        <v>445</v>
      </c>
      <c r="H6" s="86"/>
      <c r="I6" s="86" t="s">
        <v>388</v>
      </c>
    </row>
    <row r="7" spans="1:9" ht="16.8" thickBot="1">
      <c r="A7" s="84" t="s">
        <v>440</v>
      </c>
      <c r="B7" s="85">
        <v>44281</v>
      </c>
      <c r="C7" s="86" t="s">
        <v>434</v>
      </c>
      <c r="D7" s="86"/>
      <c r="E7" s="86" t="s">
        <v>414</v>
      </c>
      <c r="F7" s="86">
        <v>1</v>
      </c>
      <c r="G7" s="86" t="s">
        <v>445</v>
      </c>
      <c r="H7" s="86"/>
      <c r="I7" s="86" t="s">
        <v>446</v>
      </c>
    </row>
    <row r="8" spans="1:9" ht="16.8" thickBot="1">
      <c r="A8" s="84" t="s">
        <v>440</v>
      </c>
      <c r="B8" s="85">
        <v>44281</v>
      </c>
      <c r="C8" s="86" t="s">
        <v>434</v>
      </c>
      <c r="D8" s="86"/>
      <c r="E8" s="86" t="s">
        <v>447</v>
      </c>
      <c r="F8" s="86"/>
      <c r="G8" s="86" t="s">
        <v>445</v>
      </c>
      <c r="H8" s="86"/>
      <c r="I8" s="86" t="s">
        <v>413</v>
      </c>
    </row>
    <row r="9" spans="1:9" ht="16.8" thickBot="1">
      <c r="A9" s="84" t="s">
        <v>440</v>
      </c>
      <c r="B9" s="85">
        <v>44284</v>
      </c>
      <c r="C9" s="86" t="s">
        <v>438</v>
      </c>
      <c r="D9" s="86" t="s">
        <v>422</v>
      </c>
      <c r="E9" s="86"/>
      <c r="F9" s="86"/>
      <c r="G9" s="86" t="s">
        <v>445</v>
      </c>
      <c r="H9" s="86"/>
      <c r="I9" s="86" t="s">
        <v>393</v>
      </c>
    </row>
    <row r="10" spans="1:9" ht="16.8" thickBot="1">
      <c r="A10" s="84" t="s">
        <v>440</v>
      </c>
      <c r="B10" s="85">
        <v>44285</v>
      </c>
      <c r="C10" s="86" t="s">
        <v>410</v>
      </c>
      <c r="D10" s="86" t="s">
        <v>422</v>
      </c>
      <c r="E10" s="86"/>
      <c r="F10" s="86"/>
      <c r="G10" s="86" t="s">
        <v>445</v>
      </c>
      <c r="H10" s="86"/>
      <c r="I10" s="86" t="s">
        <v>393</v>
      </c>
    </row>
    <row r="11" spans="1:9">
      <c r="A11" s="159" t="s">
        <v>440</v>
      </c>
      <c r="B11" s="162">
        <v>44286</v>
      </c>
      <c r="C11" s="159" t="s">
        <v>389</v>
      </c>
      <c r="D11" s="159" t="s">
        <v>390</v>
      </c>
      <c r="E11" s="159"/>
      <c r="F11" s="90">
        <v>3</v>
      </c>
      <c r="G11" s="159" t="s">
        <v>445</v>
      </c>
      <c r="H11" s="159"/>
      <c r="I11" s="159" t="s">
        <v>413</v>
      </c>
    </row>
    <row r="12" spans="1:9" ht="33" thickBot="1">
      <c r="A12" s="160"/>
      <c r="B12" s="163"/>
      <c r="C12" s="160"/>
      <c r="D12" s="160"/>
      <c r="E12" s="160"/>
      <c r="F12" s="86" t="s">
        <v>448</v>
      </c>
      <c r="G12" s="160"/>
      <c r="H12" s="160"/>
      <c r="I12" s="160"/>
    </row>
    <row r="13" spans="1:9" ht="16.8" thickBot="1">
      <c r="A13" s="84" t="s">
        <v>397</v>
      </c>
      <c r="B13" s="86"/>
      <c r="C13" s="86"/>
      <c r="D13" s="86"/>
      <c r="E13" s="86"/>
      <c r="F13" s="86"/>
      <c r="G13" s="86"/>
      <c r="H13" s="86"/>
      <c r="I13" s="86"/>
    </row>
    <row r="14" spans="1:9">
      <c r="A14" s="73"/>
    </row>
    <row r="15" spans="1:9" ht="19.8">
      <c r="A15" s="161" t="s">
        <v>455</v>
      </c>
      <c r="B15" s="161"/>
      <c r="C15" s="161"/>
      <c r="D15" s="161"/>
      <c r="E15" s="161"/>
      <c r="F15" s="161"/>
      <c r="G15" s="161"/>
      <c r="H15" s="161"/>
      <c r="I15" s="161"/>
    </row>
    <row r="16" spans="1:9">
      <c r="A16" s="73"/>
    </row>
    <row r="17" spans="1:8">
      <c r="A17" s="73"/>
    </row>
    <row r="18" spans="1:8" ht="24" thickBot="1">
      <c r="A18" s="73" t="s">
        <v>449</v>
      </c>
    </row>
    <row r="19" spans="1:8" ht="33" thickBot="1">
      <c r="A19" s="88" t="s">
        <v>387</v>
      </c>
      <c r="B19" s="89" t="s">
        <v>400</v>
      </c>
      <c r="C19" s="89" t="s">
        <v>401</v>
      </c>
      <c r="D19" s="89" t="s">
        <v>402</v>
      </c>
      <c r="E19" s="89" t="s">
        <v>403</v>
      </c>
      <c r="F19" s="89" t="s">
        <v>404</v>
      </c>
    </row>
    <row r="20" spans="1:8">
      <c r="A20" s="159" t="s">
        <v>424</v>
      </c>
      <c r="B20" s="159"/>
      <c r="C20" s="159"/>
      <c r="D20" s="159" t="s">
        <v>431</v>
      </c>
      <c r="E20" s="159"/>
      <c r="F20" s="90" t="s">
        <v>405</v>
      </c>
    </row>
    <row r="21" spans="1:8" ht="33" thickBot="1">
      <c r="A21" s="160"/>
      <c r="B21" s="160"/>
      <c r="C21" s="160"/>
      <c r="D21" s="160"/>
      <c r="E21" s="160"/>
      <c r="F21" s="86" t="s">
        <v>406</v>
      </c>
    </row>
    <row r="22" spans="1:8">
      <c r="A22" s="159" t="s">
        <v>393</v>
      </c>
      <c r="B22" s="159" t="s">
        <v>450</v>
      </c>
      <c r="C22" s="159"/>
      <c r="D22" s="159"/>
      <c r="E22" s="159"/>
      <c r="F22" s="90" t="s">
        <v>405</v>
      </c>
    </row>
    <row r="23" spans="1:8" ht="33" thickBot="1">
      <c r="A23" s="160"/>
      <c r="B23" s="160"/>
      <c r="C23" s="160"/>
      <c r="D23" s="160"/>
      <c r="E23" s="160"/>
      <c r="F23" s="86" t="s">
        <v>406</v>
      </c>
    </row>
    <row r="24" spans="1:8" ht="16.8" thickBot="1">
      <c r="A24" s="84" t="s">
        <v>388</v>
      </c>
      <c r="B24" s="86"/>
      <c r="C24" s="86"/>
      <c r="D24" s="86" t="s">
        <v>431</v>
      </c>
      <c r="E24" s="86"/>
      <c r="F24" s="86"/>
    </row>
    <row r="25" spans="1:8" ht="16.8" thickBot="1">
      <c r="A25" s="84" t="s">
        <v>446</v>
      </c>
      <c r="B25" s="86"/>
      <c r="C25" s="86"/>
      <c r="D25" s="86" t="s">
        <v>431</v>
      </c>
      <c r="E25" s="86"/>
      <c r="F25" s="86"/>
    </row>
    <row r="26" spans="1:8" ht="33" thickBot="1">
      <c r="A26" s="84" t="s">
        <v>413</v>
      </c>
      <c r="B26" s="86"/>
      <c r="C26" s="86"/>
      <c r="D26" s="86" t="s">
        <v>451</v>
      </c>
      <c r="E26" s="86"/>
      <c r="F26" s="86"/>
    </row>
    <row r="27" spans="1:8" ht="16.8" thickBot="1">
      <c r="A27" s="84" t="s">
        <v>397</v>
      </c>
      <c r="B27" s="86" t="s">
        <v>450</v>
      </c>
      <c r="C27" s="86"/>
      <c r="D27" s="86" t="s">
        <v>452</v>
      </c>
      <c r="E27" s="86"/>
      <c r="F27" s="86"/>
    </row>
    <row r="28" spans="1:8" ht="19.8">
      <c r="A28" s="161" t="s">
        <v>454</v>
      </c>
      <c r="B28" s="161"/>
      <c r="C28" s="161"/>
      <c r="D28" s="161"/>
      <c r="E28" s="161"/>
      <c r="F28" s="161"/>
      <c r="G28" s="161"/>
      <c r="H28" s="161"/>
    </row>
  </sheetData>
  <mergeCells count="29">
    <mergeCell ref="A28:H28"/>
    <mergeCell ref="A22:A23"/>
    <mergeCell ref="B22:B23"/>
    <mergeCell ref="C22:C23"/>
    <mergeCell ref="D22:D23"/>
    <mergeCell ref="E22:E23"/>
    <mergeCell ref="A1:I1"/>
    <mergeCell ref="I11:I12"/>
    <mergeCell ref="A20:A21"/>
    <mergeCell ref="B20:B21"/>
    <mergeCell ref="C20:C21"/>
    <mergeCell ref="D20:D21"/>
    <mergeCell ref="E20:E21"/>
    <mergeCell ref="G2:G3"/>
    <mergeCell ref="H2:H3"/>
    <mergeCell ref="A11:A12"/>
    <mergeCell ref="B11:B12"/>
    <mergeCell ref="C11:C12"/>
    <mergeCell ref="D11:D12"/>
    <mergeCell ref="E11:E12"/>
    <mergeCell ref="G11:G12"/>
    <mergeCell ref="H11:H12"/>
    <mergeCell ref="F2:F3"/>
    <mergeCell ref="A15:I15"/>
    <mergeCell ref="A2:A3"/>
    <mergeCell ref="B2:B3"/>
    <mergeCell ref="C2:C3"/>
    <mergeCell ref="D2:D3"/>
    <mergeCell ref="E2:E3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EB85-85ED-4E6C-A914-C95D4A4736E4}">
  <sheetPr>
    <tabColor rgb="FFFF0000"/>
  </sheetPr>
  <dimension ref="A1:N15"/>
  <sheetViews>
    <sheetView tabSelected="1" zoomScaleNormal="100" workbookViewId="0">
      <selection activeCell="C12" sqref="C12"/>
    </sheetView>
  </sheetViews>
  <sheetFormatPr defaultRowHeight="16.2"/>
  <cols>
    <col min="2" max="2" width="4.77734375" customWidth="1"/>
    <col min="3" max="3" width="7.109375" customWidth="1"/>
    <col min="4" max="4" width="7.6640625" customWidth="1"/>
    <col min="5" max="6" width="5.6640625" customWidth="1"/>
    <col min="7" max="8" width="7" customWidth="1"/>
    <col min="9" max="9" width="7.77734375" customWidth="1"/>
    <col min="10" max="10" width="5.77734375" customWidth="1"/>
    <col min="11" max="11" width="4.6640625" customWidth="1"/>
    <col min="12" max="12" width="5.109375" customWidth="1"/>
    <col min="13" max="13" width="7.33203125" customWidth="1"/>
    <col min="14" max="14" width="10.44140625" customWidth="1"/>
  </cols>
  <sheetData>
    <row r="1" spans="1:14" ht="19.8">
      <c r="A1" s="166" t="s">
        <v>484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167"/>
    </row>
    <row r="2" spans="1:14">
      <c r="A2" s="169" t="s">
        <v>458</v>
      </c>
      <c r="B2" s="171" t="s">
        <v>479</v>
      </c>
      <c r="C2" s="171" t="s">
        <v>480</v>
      </c>
      <c r="D2" s="171" t="s">
        <v>481</v>
      </c>
      <c r="E2" s="174" t="s">
        <v>462</v>
      </c>
      <c r="F2" s="175"/>
      <c r="G2" s="175"/>
      <c r="H2" s="175"/>
      <c r="I2" s="176" t="s">
        <v>463</v>
      </c>
      <c r="J2" s="174" t="s">
        <v>464</v>
      </c>
      <c r="K2" s="175"/>
      <c r="L2" s="175"/>
      <c r="M2" s="178" t="s">
        <v>482</v>
      </c>
      <c r="N2" s="179" t="s">
        <v>23</v>
      </c>
    </row>
    <row r="3" spans="1:14" ht="37.799999999999997">
      <c r="A3" s="170"/>
      <c r="B3" s="172"/>
      <c r="C3" s="173"/>
      <c r="D3" s="172"/>
      <c r="E3" s="98" t="s">
        <v>466</v>
      </c>
      <c r="F3" s="99" t="s">
        <v>467</v>
      </c>
      <c r="G3" s="99" t="s">
        <v>468</v>
      </c>
      <c r="H3" s="99" t="s">
        <v>469</v>
      </c>
      <c r="I3" s="177"/>
      <c r="J3" s="94" t="s">
        <v>470</v>
      </c>
      <c r="K3" s="94" t="s">
        <v>471</v>
      </c>
      <c r="L3" s="95" t="s">
        <v>483</v>
      </c>
      <c r="M3" s="178"/>
      <c r="N3" s="180"/>
    </row>
    <row r="4" spans="1:14" ht="54.75" customHeight="1">
      <c r="A4" s="110" t="s">
        <v>45</v>
      </c>
      <c r="B4" s="117">
        <v>5</v>
      </c>
      <c r="C4" s="105">
        <v>1496</v>
      </c>
      <c r="D4" s="106">
        <f>B4*C4</f>
        <v>7480</v>
      </c>
      <c r="E4" s="117">
        <v>423</v>
      </c>
      <c r="F4" s="117">
        <v>286</v>
      </c>
      <c r="G4" s="107"/>
      <c r="H4" s="108">
        <f t="shared" ref="H4" si="0">ROUND(D4*0.0211,0)</f>
        <v>158</v>
      </c>
      <c r="I4" s="114">
        <f t="shared" ref="I4" si="1">SUM(D4:H4)</f>
        <v>8347</v>
      </c>
      <c r="J4" s="117">
        <v>119</v>
      </c>
      <c r="K4" s="117"/>
      <c r="L4" s="117"/>
      <c r="M4" s="118">
        <f t="shared" ref="M4:M7" si="2">D4-J4-K4-L4</f>
        <v>7361</v>
      </c>
      <c r="N4" s="115" t="s">
        <v>485</v>
      </c>
    </row>
    <row r="5" spans="1:14" ht="45">
      <c r="A5" s="110"/>
      <c r="B5" s="117"/>
      <c r="C5" s="105"/>
      <c r="D5" s="106"/>
      <c r="E5" s="111"/>
      <c r="F5" s="120">
        <v>53</v>
      </c>
      <c r="G5" s="107"/>
      <c r="H5" s="108"/>
      <c r="I5" s="114">
        <v>53</v>
      </c>
      <c r="J5" s="111"/>
      <c r="K5" s="111"/>
      <c r="L5" s="111"/>
      <c r="M5" s="118"/>
      <c r="N5" s="121" t="s">
        <v>486</v>
      </c>
    </row>
    <row r="6" spans="1:14" ht="19.8">
      <c r="A6" s="110"/>
      <c r="B6" s="117"/>
      <c r="C6" s="105"/>
      <c r="D6" s="106"/>
      <c r="E6" s="111"/>
      <c r="F6" s="111"/>
      <c r="G6" s="107"/>
      <c r="H6" s="108"/>
      <c r="I6" s="109"/>
      <c r="J6" s="111"/>
      <c r="K6" s="111"/>
      <c r="L6" s="111"/>
      <c r="M6" s="113"/>
      <c r="N6" s="96"/>
    </row>
    <row r="7" spans="1:14" ht="19.8">
      <c r="A7" s="112"/>
      <c r="B7" s="118">
        <f>SUM(B4:B6)</f>
        <v>5</v>
      </c>
      <c r="C7" s="118"/>
      <c r="D7" s="118">
        <f>SUM(D4:D6)</f>
        <v>7480</v>
      </c>
      <c r="E7" s="118">
        <v>423</v>
      </c>
      <c r="F7" s="118">
        <v>339</v>
      </c>
      <c r="G7" s="118" t="s">
        <v>478</v>
      </c>
      <c r="H7" s="109">
        <f>SUM(H4:H6)</f>
        <v>158</v>
      </c>
      <c r="I7" s="118">
        <f>SUM(D7:H7)</f>
        <v>8400</v>
      </c>
      <c r="J7" s="118">
        <v>119</v>
      </c>
      <c r="K7" s="118"/>
      <c r="L7" s="118"/>
      <c r="M7" s="118">
        <f t="shared" si="2"/>
        <v>7361</v>
      </c>
      <c r="N7" s="97"/>
    </row>
    <row r="8" spans="1:14">
      <c r="A8" s="103"/>
      <c r="B8" s="103"/>
      <c r="C8" s="103"/>
      <c r="D8" s="103"/>
      <c r="E8" s="103"/>
      <c r="F8" s="103"/>
      <c r="G8" s="103"/>
      <c r="H8" s="104"/>
      <c r="I8" s="103"/>
      <c r="J8" s="103"/>
      <c r="K8" s="103"/>
      <c r="L8" s="103"/>
      <c r="M8" s="103"/>
      <c r="N8" s="103"/>
    </row>
    <row r="9" spans="1:14" ht="16.95" customHeight="1"/>
    <row r="10" spans="1:14">
      <c r="A10" s="116" t="s">
        <v>472</v>
      </c>
      <c r="B10" s="116"/>
      <c r="C10" s="116" t="s">
        <v>473</v>
      </c>
      <c r="D10" s="116"/>
      <c r="E10" s="164" t="s">
        <v>474</v>
      </c>
      <c r="F10" s="164"/>
      <c r="G10" s="101"/>
      <c r="H10" s="101"/>
      <c r="I10" s="101" t="s">
        <v>475</v>
      </c>
      <c r="L10" s="101" t="s">
        <v>26</v>
      </c>
    </row>
    <row r="11" spans="1:14">
      <c r="A11" s="116"/>
      <c r="B11" s="116"/>
      <c r="C11" s="116"/>
      <c r="D11" s="116"/>
      <c r="E11" s="164"/>
      <c r="F11" s="164"/>
      <c r="G11" s="165"/>
      <c r="H11" s="165"/>
      <c r="I11" s="165"/>
    </row>
    <row r="12" spans="1:14">
      <c r="C12" t="s">
        <v>503</v>
      </c>
    </row>
    <row r="15" spans="1:14">
      <c r="A15" s="102" t="s">
        <v>476</v>
      </c>
    </row>
  </sheetData>
  <mergeCells count="13">
    <mergeCell ref="E10:F10"/>
    <mergeCell ref="E11:F11"/>
    <mergeCell ref="G11:I11"/>
    <mergeCell ref="A1:N1"/>
    <mergeCell ref="A2:A3"/>
    <mergeCell ref="B2:B3"/>
    <mergeCell ref="C2:C3"/>
    <mergeCell ref="D2:D3"/>
    <mergeCell ref="E2:H2"/>
    <mergeCell ref="I2:I3"/>
    <mergeCell ref="J2:L2"/>
    <mergeCell ref="M2:M3"/>
    <mergeCell ref="N2:N3"/>
  </mergeCells>
  <phoneticPr fontId="2" type="noConversion"/>
  <pageMargins left="0.31496062992125984" right="0.31496062992125984" top="0.59055118110236227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41B2-079B-4A2C-937E-BBBCA236BB33}">
  <sheetPr>
    <tabColor rgb="FFFF0000"/>
  </sheetPr>
  <dimension ref="A1:U27"/>
  <sheetViews>
    <sheetView topLeftCell="A10" zoomScale="130" zoomScaleNormal="130" workbookViewId="0">
      <selection activeCell="C24" sqref="C24"/>
    </sheetView>
  </sheetViews>
  <sheetFormatPr defaultRowHeight="16.2"/>
  <cols>
    <col min="2" max="2" width="6.33203125" customWidth="1"/>
    <col min="5" max="6" width="5.6640625" customWidth="1"/>
    <col min="7" max="8" width="7" customWidth="1"/>
    <col min="9" max="9" width="7.77734375" customWidth="1"/>
    <col min="10" max="10" width="5.77734375" customWidth="1"/>
    <col min="11" max="11" width="4.6640625" customWidth="1"/>
    <col min="12" max="12" width="5.109375" customWidth="1"/>
    <col min="14" max="14" width="6.44140625" customWidth="1"/>
  </cols>
  <sheetData>
    <row r="1" spans="1:21" ht="30" customHeight="1">
      <c r="A1" s="166" t="s">
        <v>491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  <c r="N1" s="167"/>
    </row>
    <row r="2" spans="1:21">
      <c r="A2" s="169" t="s">
        <v>458</v>
      </c>
      <c r="B2" s="171" t="s">
        <v>459</v>
      </c>
      <c r="C2" s="171" t="s">
        <v>460</v>
      </c>
      <c r="D2" s="171" t="s">
        <v>461</v>
      </c>
      <c r="E2" s="174" t="s">
        <v>462</v>
      </c>
      <c r="F2" s="175"/>
      <c r="G2" s="175"/>
      <c r="H2" s="175"/>
      <c r="I2" s="176" t="s">
        <v>463</v>
      </c>
      <c r="J2" s="174" t="s">
        <v>464</v>
      </c>
      <c r="K2" s="175"/>
      <c r="L2" s="175"/>
      <c r="M2" s="178" t="s">
        <v>465</v>
      </c>
      <c r="N2" s="179" t="s">
        <v>23</v>
      </c>
    </row>
    <row r="3" spans="1:21" ht="37.799999999999997">
      <c r="A3" s="170"/>
      <c r="B3" s="172"/>
      <c r="C3" s="173"/>
      <c r="D3" s="172"/>
      <c r="E3" s="98" t="s">
        <v>466</v>
      </c>
      <c r="F3" s="99" t="s">
        <v>467</v>
      </c>
      <c r="G3" s="99" t="s">
        <v>468</v>
      </c>
      <c r="H3" s="99" t="s">
        <v>469</v>
      </c>
      <c r="I3" s="177"/>
      <c r="J3" s="94" t="s">
        <v>470</v>
      </c>
      <c r="K3" s="94" t="s">
        <v>471</v>
      </c>
      <c r="L3" s="95" t="s">
        <v>483</v>
      </c>
      <c r="M3" s="178"/>
      <c r="N3" s="180"/>
    </row>
    <row r="4" spans="1:21" ht="19.8">
      <c r="A4" s="110" t="s">
        <v>10</v>
      </c>
      <c r="B4" s="133">
        <v>10</v>
      </c>
      <c r="C4" s="124">
        <v>405</v>
      </c>
      <c r="D4" s="122">
        <f>B4*C4</f>
        <v>4050</v>
      </c>
      <c r="E4" s="125"/>
      <c r="F4" s="126"/>
      <c r="G4" s="126"/>
      <c r="H4" s="126">
        <f>ROUND(D4*0.0211,0)</f>
        <v>85</v>
      </c>
      <c r="I4" s="127">
        <f>SUM(D4:H4)</f>
        <v>4135</v>
      </c>
      <c r="J4" s="128"/>
      <c r="K4" s="128"/>
      <c r="L4" s="129"/>
      <c r="M4" s="130">
        <f>D4-J4-K4-L4</f>
        <v>4050</v>
      </c>
      <c r="N4" s="131" t="s">
        <v>492</v>
      </c>
      <c r="P4" s="102">
        <v>2</v>
      </c>
      <c r="Q4" s="102">
        <v>2</v>
      </c>
      <c r="R4" s="102">
        <v>3</v>
      </c>
      <c r="S4" s="102">
        <v>3</v>
      </c>
    </row>
    <row r="5" spans="1:21" ht="19.8">
      <c r="A5" s="110" t="s">
        <v>93</v>
      </c>
      <c r="B5" s="133">
        <v>1</v>
      </c>
      <c r="C5" s="124">
        <v>405</v>
      </c>
      <c r="D5" s="122">
        <f t="shared" ref="D5:D17" si="0">B5*C5</f>
        <v>405</v>
      </c>
      <c r="E5" s="125"/>
      <c r="F5" s="126"/>
      <c r="G5" s="126"/>
      <c r="H5" s="126">
        <f t="shared" ref="H5:H17" si="1">ROUND(D5*0.0211,0)</f>
        <v>9</v>
      </c>
      <c r="I5" s="127">
        <f t="shared" ref="I5:I17" si="2">SUM(D5:H5)</f>
        <v>414</v>
      </c>
      <c r="J5" s="128"/>
      <c r="K5" s="128"/>
      <c r="L5" s="129"/>
      <c r="M5" s="130">
        <f t="shared" ref="M5:M17" si="3">D5-J5-K5-L5</f>
        <v>405</v>
      </c>
      <c r="N5" s="131" t="s">
        <v>493</v>
      </c>
      <c r="P5" s="102"/>
      <c r="Q5" s="102"/>
      <c r="R5" s="102"/>
      <c r="S5" s="102"/>
    </row>
    <row r="6" spans="1:21" ht="19.8">
      <c r="A6" s="110" t="s">
        <v>477</v>
      </c>
      <c r="B6" s="133">
        <v>8</v>
      </c>
      <c r="C6" s="124">
        <v>405</v>
      </c>
      <c r="D6" s="122">
        <f t="shared" si="0"/>
        <v>3240</v>
      </c>
      <c r="E6" s="125"/>
      <c r="F6" s="126"/>
      <c r="G6" s="126"/>
      <c r="H6" s="126">
        <f t="shared" si="1"/>
        <v>68</v>
      </c>
      <c r="I6" s="127">
        <f t="shared" si="2"/>
        <v>3308</v>
      </c>
      <c r="J6" s="128"/>
      <c r="K6" s="128"/>
      <c r="L6" s="129"/>
      <c r="M6" s="130">
        <f t="shared" si="3"/>
        <v>3240</v>
      </c>
      <c r="N6" s="131" t="s">
        <v>501</v>
      </c>
      <c r="P6" s="102">
        <v>1</v>
      </c>
      <c r="Q6" s="102">
        <v>2</v>
      </c>
      <c r="R6" s="102">
        <v>2</v>
      </c>
      <c r="S6" s="102">
        <v>2</v>
      </c>
      <c r="T6" s="138">
        <v>1</v>
      </c>
      <c r="U6" s="138">
        <v>1</v>
      </c>
    </row>
    <row r="7" spans="1:21" ht="19.8">
      <c r="A7" s="110" t="s">
        <v>496</v>
      </c>
      <c r="B7" s="133">
        <v>3</v>
      </c>
      <c r="C7" s="124">
        <v>405</v>
      </c>
      <c r="D7" s="122">
        <f t="shared" ref="D7" si="4">B7*C7</f>
        <v>1215</v>
      </c>
      <c r="E7" s="125"/>
      <c r="F7" s="126"/>
      <c r="G7" s="126"/>
      <c r="H7" s="126">
        <f t="shared" ref="H7" si="5">ROUND(D7*0.0211,0)</f>
        <v>26</v>
      </c>
      <c r="I7" s="127">
        <f t="shared" ref="I7" si="6">SUM(D7:H7)</f>
        <v>1241</v>
      </c>
      <c r="J7" s="128"/>
      <c r="K7" s="128"/>
      <c r="L7" s="129"/>
      <c r="M7" s="130">
        <f t="shared" ref="M7" si="7">D7-J7-K7-L7</f>
        <v>1215</v>
      </c>
      <c r="N7" s="131" t="s">
        <v>495</v>
      </c>
      <c r="P7" s="137">
        <v>1</v>
      </c>
      <c r="Q7" s="137">
        <v>2</v>
      </c>
      <c r="R7" s="102"/>
      <c r="S7" s="102"/>
    </row>
    <row r="8" spans="1:21" ht="19.8">
      <c r="A8" s="110" t="s">
        <v>488</v>
      </c>
      <c r="B8" s="133">
        <v>2</v>
      </c>
      <c r="C8" s="124">
        <v>405</v>
      </c>
      <c r="D8" s="122">
        <f t="shared" si="0"/>
        <v>810</v>
      </c>
      <c r="E8" s="125"/>
      <c r="F8" s="126"/>
      <c r="G8" s="126"/>
      <c r="H8" s="126">
        <f t="shared" si="1"/>
        <v>17</v>
      </c>
      <c r="I8" s="127">
        <f t="shared" si="2"/>
        <v>827</v>
      </c>
      <c r="J8" s="128"/>
      <c r="K8" s="128"/>
      <c r="L8" s="129"/>
      <c r="M8" s="130">
        <f t="shared" si="3"/>
        <v>810</v>
      </c>
      <c r="N8" s="131" t="s">
        <v>498</v>
      </c>
      <c r="P8" s="137">
        <v>2</v>
      </c>
      <c r="Q8" s="102"/>
      <c r="R8" s="102"/>
      <c r="S8" s="102"/>
    </row>
    <row r="9" spans="1:21" ht="19.8">
      <c r="A9" s="110" t="s">
        <v>45</v>
      </c>
      <c r="B9" s="133">
        <v>3</v>
      </c>
      <c r="C9" s="124">
        <v>405</v>
      </c>
      <c r="D9" s="122">
        <f t="shared" si="0"/>
        <v>1215</v>
      </c>
      <c r="E9" s="125"/>
      <c r="F9" s="126"/>
      <c r="G9" s="126"/>
      <c r="H9" s="126">
        <f t="shared" si="1"/>
        <v>26</v>
      </c>
      <c r="I9" s="127">
        <f t="shared" si="2"/>
        <v>1241</v>
      </c>
      <c r="J9" s="128">
        <v>1</v>
      </c>
      <c r="K9" s="128"/>
      <c r="L9" s="129"/>
      <c r="M9" s="130">
        <f t="shared" si="3"/>
        <v>1214</v>
      </c>
      <c r="N9" s="131" t="s">
        <v>495</v>
      </c>
      <c r="P9" s="102"/>
      <c r="Q9" s="102"/>
      <c r="R9" s="102"/>
      <c r="S9" s="102"/>
    </row>
    <row r="10" spans="1:21" ht="19.8">
      <c r="A10" s="110" t="s">
        <v>500</v>
      </c>
      <c r="B10" s="133">
        <v>2</v>
      </c>
      <c r="C10" s="124">
        <v>405</v>
      </c>
      <c r="D10" s="122">
        <f t="shared" si="0"/>
        <v>810</v>
      </c>
      <c r="E10" s="125"/>
      <c r="F10" s="126"/>
      <c r="G10" s="126"/>
      <c r="H10" s="126">
        <f t="shared" si="1"/>
        <v>17</v>
      </c>
      <c r="I10" s="127">
        <f t="shared" si="2"/>
        <v>827</v>
      </c>
      <c r="J10" s="128"/>
      <c r="K10" s="128"/>
      <c r="L10" s="129"/>
      <c r="M10" s="130">
        <f t="shared" si="3"/>
        <v>810</v>
      </c>
      <c r="N10" s="131"/>
      <c r="P10" s="102"/>
      <c r="Q10" s="102"/>
      <c r="R10" s="102"/>
      <c r="S10" s="102"/>
    </row>
    <row r="11" spans="1:21" ht="19.8">
      <c r="A11" s="123" t="s">
        <v>457</v>
      </c>
      <c r="B11" s="133">
        <v>1</v>
      </c>
      <c r="C11" s="124">
        <v>405</v>
      </c>
      <c r="D11" s="122">
        <f t="shared" si="0"/>
        <v>405</v>
      </c>
      <c r="E11" s="125"/>
      <c r="F11" s="126"/>
      <c r="G11" s="126"/>
      <c r="H11" s="126">
        <f t="shared" si="1"/>
        <v>9</v>
      </c>
      <c r="I11" s="127">
        <f t="shared" si="2"/>
        <v>414</v>
      </c>
      <c r="J11" s="128"/>
      <c r="K11" s="128"/>
      <c r="L11" s="129"/>
      <c r="M11" s="130">
        <f t="shared" si="3"/>
        <v>405</v>
      </c>
      <c r="N11" s="131" t="s">
        <v>493</v>
      </c>
      <c r="P11" s="102"/>
      <c r="Q11" s="102"/>
      <c r="R11" s="102"/>
      <c r="S11" s="102"/>
    </row>
    <row r="12" spans="1:21" ht="19.8">
      <c r="A12" s="110" t="s">
        <v>490</v>
      </c>
      <c r="B12" s="133">
        <v>4</v>
      </c>
      <c r="C12" s="124">
        <v>405</v>
      </c>
      <c r="D12" s="122">
        <f t="shared" si="0"/>
        <v>1620</v>
      </c>
      <c r="E12" s="125"/>
      <c r="F12" s="126"/>
      <c r="G12" s="126"/>
      <c r="H12" s="126">
        <f t="shared" si="1"/>
        <v>34</v>
      </c>
      <c r="I12" s="127">
        <f t="shared" si="2"/>
        <v>1654</v>
      </c>
      <c r="J12" s="128"/>
      <c r="K12" s="128"/>
      <c r="L12" s="129"/>
      <c r="M12" s="130">
        <f t="shared" si="3"/>
        <v>1620</v>
      </c>
      <c r="N12" s="131" t="s">
        <v>499</v>
      </c>
      <c r="P12" s="137">
        <v>1</v>
      </c>
      <c r="Q12" s="137">
        <v>1</v>
      </c>
      <c r="R12" s="137">
        <v>2</v>
      </c>
      <c r="S12" s="102"/>
    </row>
    <row r="13" spans="1:21" ht="19.8">
      <c r="A13" s="110" t="s">
        <v>497</v>
      </c>
      <c r="B13" s="133">
        <v>1</v>
      </c>
      <c r="C13" s="124">
        <v>405</v>
      </c>
      <c r="D13" s="122">
        <f t="shared" ref="D13" si="8">B13*C13</f>
        <v>405</v>
      </c>
      <c r="E13" s="125"/>
      <c r="F13" s="126"/>
      <c r="G13" s="126"/>
      <c r="H13" s="126">
        <f t="shared" ref="H13" si="9">ROUND(D13*0.0211,0)</f>
        <v>9</v>
      </c>
      <c r="I13" s="127">
        <f t="shared" ref="I13" si="10">SUM(D13:H13)</f>
        <v>414</v>
      </c>
      <c r="J13" s="128"/>
      <c r="K13" s="128"/>
      <c r="L13" s="129"/>
      <c r="M13" s="130">
        <f t="shared" ref="M13" si="11">D13-J13-K13-L13</f>
        <v>405</v>
      </c>
      <c r="N13" s="131" t="s">
        <v>493</v>
      </c>
      <c r="P13" s="137">
        <v>1</v>
      </c>
      <c r="Q13" s="102"/>
      <c r="R13" s="102"/>
      <c r="S13" s="102"/>
    </row>
    <row r="14" spans="1:21" ht="19.8">
      <c r="A14" s="110" t="s">
        <v>489</v>
      </c>
      <c r="B14" s="133">
        <v>4</v>
      </c>
      <c r="C14" s="124">
        <v>405</v>
      </c>
      <c r="D14" s="122">
        <f t="shared" si="0"/>
        <v>1620</v>
      </c>
      <c r="E14" s="125"/>
      <c r="F14" s="126"/>
      <c r="G14" s="126"/>
      <c r="H14" s="126">
        <f t="shared" si="1"/>
        <v>34</v>
      </c>
      <c r="I14" s="127">
        <f t="shared" si="2"/>
        <v>1654</v>
      </c>
      <c r="J14" s="128"/>
      <c r="K14" s="128"/>
      <c r="L14" s="129"/>
      <c r="M14" s="130">
        <f t="shared" si="3"/>
        <v>1620</v>
      </c>
      <c r="N14" s="131" t="s">
        <v>499</v>
      </c>
      <c r="P14" s="137">
        <v>2</v>
      </c>
      <c r="Q14" s="137">
        <v>2</v>
      </c>
      <c r="R14" s="102"/>
      <c r="S14" s="102"/>
    </row>
    <row r="15" spans="1:21" ht="19.8">
      <c r="A15" s="123" t="s">
        <v>487</v>
      </c>
      <c r="B15" s="133">
        <v>4</v>
      </c>
      <c r="C15" s="124">
        <v>405</v>
      </c>
      <c r="D15" s="122">
        <f t="shared" si="0"/>
        <v>1620</v>
      </c>
      <c r="E15" s="125"/>
      <c r="F15" s="126"/>
      <c r="G15" s="126"/>
      <c r="H15" s="126">
        <f t="shared" si="1"/>
        <v>34</v>
      </c>
      <c r="I15" s="127">
        <f t="shared" si="2"/>
        <v>1654</v>
      </c>
      <c r="J15" s="128"/>
      <c r="K15" s="128"/>
      <c r="L15" s="129"/>
      <c r="M15" s="130">
        <f t="shared" si="3"/>
        <v>1620</v>
      </c>
      <c r="N15" s="131" t="s">
        <v>502</v>
      </c>
      <c r="P15" s="102">
        <v>1</v>
      </c>
      <c r="Q15" s="102">
        <v>1</v>
      </c>
      <c r="R15" s="102">
        <v>2</v>
      </c>
      <c r="S15" s="102"/>
    </row>
    <row r="16" spans="1:21" ht="19.8">
      <c r="A16" s="110" t="s">
        <v>494</v>
      </c>
      <c r="B16" s="133">
        <v>6</v>
      </c>
      <c r="C16" s="124">
        <v>405</v>
      </c>
      <c r="D16" s="133">
        <f t="shared" ref="D16" si="12">B16*C16</f>
        <v>2430</v>
      </c>
      <c r="E16" s="98"/>
      <c r="F16" s="99"/>
      <c r="G16" s="99"/>
      <c r="H16" s="99">
        <f t="shared" ref="H16" si="13">ROUND(D16*0.0211,0)</f>
        <v>51</v>
      </c>
      <c r="I16" s="134">
        <f t="shared" ref="I16" si="14">SUM(D16:H16)</f>
        <v>2481</v>
      </c>
      <c r="J16" s="94"/>
      <c r="K16" s="94"/>
      <c r="L16" s="95"/>
      <c r="M16" s="135">
        <f t="shared" ref="M16" si="15">D16-J16-K16-L16</f>
        <v>2430</v>
      </c>
      <c r="N16" s="136" t="s">
        <v>495</v>
      </c>
      <c r="P16" s="102"/>
      <c r="Q16" s="102"/>
      <c r="R16" s="102"/>
      <c r="S16" s="102"/>
    </row>
    <row r="17" spans="1:19" ht="19.8">
      <c r="A17" s="110" t="s">
        <v>456</v>
      </c>
      <c r="B17" s="133">
        <v>1</v>
      </c>
      <c r="C17" s="124">
        <v>405</v>
      </c>
      <c r="D17" s="122">
        <f t="shared" si="0"/>
        <v>405</v>
      </c>
      <c r="E17" s="125"/>
      <c r="F17" s="126"/>
      <c r="G17" s="126"/>
      <c r="H17" s="126">
        <f t="shared" si="1"/>
        <v>9</v>
      </c>
      <c r="I17" s="127">
        <f t="shared" si="2"/>
        <v>414</v>
      </c>
      <c r="J17" s="128"/>
      <c r="K17" s="128"/>
      <c r="L17" s="129"/>
      <c r="M17" s="130">
        <f t="shared" si="3"/>
        <v>405</v>
      </c>
      <c r="N17" s="131" t="s">
        <v>493</v>
      </c>
      <c r="O17" s="102"/>
      <c r="P17" s="102"/>
      <c r="Q17" s="102"/>
      <c r="R17" s="102"/>
      <c r="S17" s="102"/>
    </row>
    <row r="18" spans="1:19" ht="19.8">
      <c r="A18" s="112"/>
      <c r="B18" s="112"/>
      <c r="C18" s="112"/>
      <c r="D18" s="112">
        <f>SUM(D4:D17)</f>
        <v>20250</v>
      </c>
      <c r="E18" s="112"/>
      <c r="F18" s="112"/>
      <c r="G18" s="112" t="s">
        <v>478</v>
      </c>
      <c r="H18" s="114">
        <f>SUM(H4:H17)</f>
        <v>428</v>
      </c>
      <c r="I18" s="112">
        <f>SUM(D18:H18)</f>
        <v>20678</v>
      </c>
      <c r="J18" s="112"/>
      <c r="K18" s="112"/>
      <c r="L18" s="112"/>
      <c r="M18" s="112">
        <f>D18-J18-K18-L18</f>
        <v>20250</v>
      </c>
      <c r="N18" s="97"/>
      <c r="P18" s="102"/>
      <c r="Q18" s="102"/>
      <c r="R18" s="102"/>
      <c r="S18" s="102"/>
    </row>
    <row r="19" spans="1:19" ht="19.8">
      <c r="A19" s="100"/>
      <c r="B19" s="100"/>
      <c r="C19" s="100"/>
      <c r="D19" s="100"/>
      <c r="E19" s="100"/>
      <c r="F19" s="100"/>
      <c r="G19" s="100"/>
      <c r="H19" s="119"/>
      <c r="I19" s="100"/>
      <c r="J19" s="100"/>
      <c r="K19" s="100"/>
      <c r="L19" s="100"/>
      <c r="M19" s="100"/>
      <c r="N19" s="103"/>
    </row>
    <row r="20" spans="1:19">
      <c r="A20" s="103"/>
      <c r="B20" s="103"/>
      <c r="C20" s="103"/>
      <c r="D20" s="103"/>
      <c r="E20" s="103"/>
      <c r="F20" s="103"/>
      <c r="G20" s="103"/>
      <c r="H20" s="104"/>
      <c r="I20" s="103"/>
      <c r="J20" s="103"/>
      <c r="K20" s="103"/>
      <c r="L20" s="103"/>
      <c r="M20" s="103"/>
      <c r="N20" s="103"/>
    </row>
    <row r="21" spans="1:19" ht="16.95" customHeight="1"/>
    <row r="22" spans="1:19">
      <c r="A22" s="132" t="s">
        <v>472</v>
      </c>
      <c r="B22" s="132"/>
      <c r="C22" s="132" t="s">
        <v>473</v>
      </c>
      <c r="D22" s="132"/>
      <c r="E22" s="164" t="s">
        <v>474</v>
      </c>
      <c r="F22" s="164"/>
      <c r="G22" s="101"/>
      <c r="H22" s="101"/>
      <c r="I22" s="101" t="s">
        <v>475</v>
      </c>
      <c r="L22" s="101" t="s">
        <v>26</v>
      </c>
    </row>
    <row r="23" spans="1:19">
      <c r="A23" s="132"/>
      <c r="B23" s="132"/>
      <c r="C23" s="132"/>
      <c r="D23" s="132"/>
      <c r="E23" s="164"/>
      <c r="F23" s="164"/>
      <c r="G23" s="165"/>
      <c r="H23" s="165"/>
      <c r="I23" s="165"/>
    </row>
    <row r="24" spans="1:19">
      <c r="C24" t="s">
        <v>503</v>
      </c>
    </row>
    <row r="27" spans="1:19">
      <c r="A27" s="102" t="s">
        <v>476</v>
      </c>
    </row>
  </sheetData>
  <mergeCells count="13">
    <mergeCell ref="E22:F22"/>
    <mergeCell ref="E23:F23"/>
    <mergeCell ref="G23:I23"/>
    <mergeCell ref="A1:N1"/>
    <mergeCell ref="A2:A3"/>
    <mergeCell ref="B2:B3"/>
    <mergeCell ref="C2:C3"/>
    <mergeCell ref="D2:D3"/>
    <mergeCell ref="E2:H2"/>
    <mergeCell ref="I2:I3"/>
    <mergeCell ref="J2:L2"/>
    <mergeCell ref="M2:M3"/>
    <mergeCell ref="N2:N3"/>
  </mergeCells>
  <phoneticPr fontId="2" type="noConversion"/>
  <pageMargins left="0.31496062992125984" right="0.31496062992125984" top="0.3937007874015748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2</vt:i4>
      </vt:variant>
    </vt:vector>
  </HeadingPairs>
  <TitlesOfParts>
    <vt:vector size="21" baseType="lpstr">
      <vt:lpstr>108.4</vt:lpstr>
      <vt:lpstr>108.5</vt:lpstr>
      <vt:lpstr>108.6</vt:lpstr>
      <vt:lpstr>108.9</vt:lpstr>
      <vt:lpstr>108.10</vt:lpstr>
      <vt:lpstr>108.11</vt:lpstr>
      <vt:lpstr>108.12</vt:lpstr>
      <vt:lpstr>109.1</vt:lpstr>
      <vt:lpstr>109.4</vt:lpstr>
      <vt:lpstr>109.5</vt:lpstr>
      <vt:lpstr>109.6</vt:lpstr>
      <vt:lpstr>109.7</vt:lpstr>
      <vt:lpstr>109.09</vt:lpstr>
      <vt:lpstr>109.10</vt:lpstr>
      <vt:lpstr>109.12</vt:lpstr>
      <vt:lpstr>110.01</vt:lpstr>
      <vt:lpstr>110.03</vt:lpstr>
      <vt:lpstr>11405 日代 印領</vt:lpstr>
      <vt:lpstr>11506</vt:lpstr>
      <vt:lpstr>'11405 日代 印領'!Print_Area</vt:lpstr>
      <vt:lpstr>'11506'!Print_Area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admin</cp:lastModifiedBy>
  <cp:lastPrinted>2026-07-04T05:41:24Z</cp:lastPrinted>
  <dcterms:created xsi:type="dcterms:W3CDTF">2019-03-29T01:42:28Z</dcterms:created>
  <dcterms:modified xsi:type="dcterms:W3CDTF">2026-07-16T06:22:41Z</dcterms:modified>
</cp:coreProperties>
</file>