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17" activeTab="17" autoFilterDateGrouping="1"/>
  </bookViews>
  <sheets>
    <sheet xmlns:r="http://schemas.openxmlformats.org/officeDocument/2006/relationships" name="108.4" sheetId="1" state="hidden" r:id="rId1"/>
    <sheet xmlns:r="http://schemas.openxmlformats.org/officeDocument/2006/relationships" name="108.5" sheetId="2" state="hidden" r:id="rId2"/>
    <sheet xmlns:r="http://schemas.openxmlformats.org/officeDocument/2006/relationships" name="108.6" sheetId="3" state="hidden" r:id="rId3"/>
    <sheet xmlns:r="http://schemas.openxmlformats.org/officeDocument/2006/relationships" name="108.9" sheetId="4" state="hidden" r:id="rId4"/>
    <sheet xmlns:r="http://schemas.openxmlformats.org/officeDocument/2006/relationships" name="108.10" sheetId="5" state="hidden" r:id="rId5"/>
    <sheet xmlns:r="http://schemas.openxmlformats.org/officeDocument/2006/relationships" name="108.11" sheetId="6" state="hidden" r:id="rId6"/>
    <sheet xmlns:r="http://schemas.openxmlformats.org/officeDocument/2006/relationships" name="108.12" sheetId="7" state="hidden" r:id="rId7"/>
    <sheet xmlns:r="http://schemas.openxmlformats.org/officeDocument/2006/relationships" name="109.1" sheetId="8" state="hidden" r:id="rId8"/>
    <sheet xmlns:r="http://schemas.openxmlformats.org/officeDocument/2006/relationships" name="109.4" sheetId="9" state="hidden" r:id="rId9"/>
    <sheet xmlns:r="http://schemas.openxmlformats.org/officeDocument/2006/relationships" name="109.5" sheetId="10" state="hidden" r:id="rId10"/>
    <sheet xmlns:r="http://schemas.openxmlformats.org/officeDocument/2006/relationships" name="109.6" sheetId="11" state="hidden" r:id="rId11"/>
    <sheet xmlns:r="http://schemas.openxmlformats.org/officeDocument/2006/relationships" name="109.7" sheetId="12" state="hidden" r:id="rId12"/>
    <sheet xmlns:r="http://schemas.openxmlformats.org/officeDocument/2006/relationships" name="109.09" sheetId="13" state="hidden" r:id="rId13"/>
    <sheet xmlns:r="http://schemas.openxmlformats.org/officeDocument/2006/relationships" name="109.10" sheetId="14" state="hidden" r:id="rId14"/>
    <sheet xmlns:r="http://schemas.openxmlformats.org/officeDocument/2006/relationships" name="109.12" sheetId="15" state="hidden" r:id="rId15"/>
    <sheet xmlns:r="http://schemas.openxmlformats.org/officeDocument/2006/relationships" name="110.01" sheetId="16" state="hidden" r:id="rId16"/>
    <sheet xmlns:r="http://schemas.openxmlformats.org/officeDocument/2006/relationships" name="110.03" sheetId="17" state="hidden" r:id="rId17"/>
    <sheet xmlns:r="http://schemas.openxmlformats.org/officeDocument/2006/relationships" name="11405 日代 印領" sheetId="18" state="visible" r:id="rId18"/>
    <sheet xmlns:r="http://schemas.openxmlformats.org/officeDocument/2006/relationships" name="11506" sheetId="19" state="visible" r:id="rId19"/>
    <sheet xmlns:r="http://schemas.openxmlformats.org/officeDocument/2006/relationships" name="11508" sheetId="20" state="visible" r:id="rId20"/>
    <sheet xmlns:r="http://schemas.openxmlformats.org/officeDocument/2006/relationships" name="11508日代" sheetId="21" state="visible" r:id="rId21"/>
  </sheets>
  <definedNames>
    <definedName name="_xlnm.Print_Area" localSheetId="17">'11405 日代 印領'!$A$1:$N$12</definedName>
    <definedName name="_xlnm.Print_Area" localSheetId="18">'11506'!$A$1:$N$24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m&quot;月&quot;d&quot;日&quot;"/>
    <numFmt numFmtId="165" formatCode="0_);[Red]\(0\)"/>
  </numFmts>
  <fonts count="34">
    <font>
      <name val="新細明體"/>
      <charset val="136"/>
      <family val="2"/>
      <color theme="1"/>
      <sz val="12"/>
      <scheme val="minor"/>
    </font>
    <font>
      <name val="標楷體"/>
      <charset val="136"/>
      <family val="4"/>
      <b val="1"/>
      <sz val="20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9"/>
    </font>
    <font>
      <name val="標楷體"/>
      <charset val="136"/>
      <family val="4"/>
      <sz val="12"/>
    </font>
    <font>
      <name val="標楷體"/>
      <charset val="136"/>
      <family val="4"/>
      <sz val="10"/>
    </font>
    <font>
      <name val="Times New Roman"/>
      <family val="1"/>
      <sz val="12"/>
    </font>
    <font>
      <name val="標楷體"/>
      <charset val="136"/>
      <family val="4"/>
      <color theme="1"/>
      <sz val="12"/>
    </font>
    <font>
      <name val="標楷體"/>
      <charset val="136"/>
      <family val="4"/>
      <color theme="1"/>
      <sz val="10"/>
    </font>
    <font>
      <name val="新細明體"/>
      <charset val="136"/>
      <family val="1"/>
      <sz val="12"/>
    </font>
    <font>
      <name val="標楷體"/>
      <charset val="136"/>
      <family val="4"/>
      <sz val="9"/>
    </font>
    <font>
      <name val="標楷體"/>
      <charset val="136"/>
      <family val="4"/>
      <color theme="1"/>
      <sz val="17"/>
    </font>
    <font>
      <name val="標楷體"/>
      <charset val="136"/>
      <family val="4"/>
      <color theme="1"/>
      <sz val="13.5"/>
    </font>
    <font>
      <name val="標楷體"/>
      <charset val="136"/>
      <family val="4"/>
      <color rgb="FF000000"/>
      <sz val="13.5"/>
    </font>
    <font>
      <name val="標楷體"/>
      <charset val="136"/>
      <family val="4"/>
      <color theme="1"/>
      <sz val="14"/>
    </font>
    <font>
      <name val="標楷體"/>
      <charset val="136"/>
      <family val="4"/>
      <color rgb="FF000000"/>
      <sz val="12"/>
    </font>
    <font>
      <name val="標楷體"/>
      <charset val="136"/>
      <family val="4"/>
      <b val="1"/>
      <sz val="14"/>
    </font>
    <font>
      <name val="標楷體"/>
      <charset val="136"/>
      <family val="4"/>
      <sz val="14"/>
    </font>
    <font>
      <name val="新細明體"/>
      <charset val="136"/>
      <family val="1"/>
      <color theme="1"/>
      <sz val="14"/>
      <scheme val="minor"/>
    </font>
    <font>
      <name val="SetoFont"/>
      <charset val="136"/>
      <family val="3"/>
      <color theme="1"/>
      <sz val="14"/>
    </font>
    <font>
      <name val="標楷體"/>
      <charset val="136"/>
      <family val="4"/>
      <sz val="11"/>
    </font>
    <font>
      <name val="新細明體"/>
      <charset val="136"/>
      <family val="1"/>
      <color theme="1"/>
      <sz val="11"/>
      <scheme val="minor"/>
    </font>
    <font>
      <name val="標楷體"/>
      <charset val="136"/>
      <family val="4"/>
      <color theme="1"/>
      <sz val="11"/>
    </font>
    <font>
      <name val="新細明體"/>
      <charset val="136"/>
      <family val="2"/>
      <color theme="1"/>
      <sz val="11"/>
      <scheme val="minor"/>
    </font>
    <font>
      <name val="SetoFont"/>
      <charset val="136"/>
      <family val="3"/>
      <color theme="1"/>
      <sz val="11"/>
    </font>
    <font>
      <name val="標楷體"/>
      <charset val="136"/>
      <family val="4"/>
      <sz val="8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color theme="1"/>
      <sz val="14"/>
      <scheme val="minor"/>
    </font>
    <font>
      <name val="標楷體"/>
      <charset val="136"/>
      <family val="4"/>
      <color rgb="FFFF0000"/>
      <sz val="11"/>
    </font>
    <font>
      <name val="標楷體"/>
      <charset val="136"/>
      <family val="4"/>
      <color rgb="FFFF0000"/>
      <sz val="14"/>
    </font>
    <font>
      <name val="新細明體"/>
      <charset val="136"/>
      <family val="1"/>
      <sz val="14"/>
      <scheme val="minor"/>
    </font>
    <font>
      <name val="標楷體"/>
      <charset val="136"/>
      <family val="4"/>
      <color rgb="FFFF0000"/>
      <sz val="8"/>
    </font>
    <font>
      <name val="標楷體"/>
      <charset val="136"/>
      <family val="4"/>
      <color rgb="FFFF0000"/>
      <sz val="9"/>
    </font>
    <font>
      <name val="新細明體"/>
      <charset val="136"/>
      <family val="2"/>
      <sz val="12"/>
      <scheme val="minor"/>
    </font>
  </fonts>
  <fills count="2">
    <fill>
      <patternFill/>
    </fill>
    <fill>
      <patternFill patternType="gray125"/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203">
    <xf numFmtId="0" fontId="0" fillId="0" borderId="0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49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wrapText="1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vertical="center"/>
    </xf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vertical="center"/>
    </xf>
    <xf numFmtId="49" fontId="5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 wrapText="1"/>
    </xf>
    <xf numFmtId="49" fontId="8" fillId="0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49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49" fontId="5" fillId="0" borderId="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49" fontId="10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2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4" fillId="0" borderId="25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2" fillId="0" borderId="27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164" fontId="7" fillId="0" borderId="24" applyAlignment="1" pivotButton="0" quotePrefix="0" xfId="0">
      <alignment horizontal="center" vertical="center" wrapText="1"/>
    </xf>
    <xf numFmtId="0" fontId="7" fillId="0" borderId="24" applyAlignment="1" pivotButton="0" quotePrefix="0" xfId="0">
      <alignment horizontal="center" vertical="center" wrapText="1"/>
    </xf>
    <xf numFmtId="0" fontId="15" fillId="0" borderId="24" applyAlignment="1" pivotButton="0" quotePrefix="0" xfId="0">
      <alignment vertical="center" wrapText="1"/>
    </xf>
    <xf numFmtId="0" fontId="7" fillId="0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center" vertical="center" wrapText="1"/>
    </xf>
    <xf numFmtId="0" fontId="15" fillId="0" borderId="24" applyAlignment="1" pivotButton="0" quotePrefix="0" xfId="0">
      <alignment horizontal="center" vertical="center" wrapText="1"/>
    </xf>
    <xf numFmtId="0" fontId="14" fillId="0" borderId="2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 wrapText="1"/>
    </xf>
    <xf numFmtId="0" fontId="23" fillId="0" borderId="6" applyAlignment="1" pivotButton="0" quotePrefix="0" xfId="0">
      <alignment vertical="center"/>
    </xf>
    <xf numFmtId="0" fontId="24" fillId="0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/>
    </xf>
    <xf numFmtId="0" fontId="25" fillId="0" borderId="6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165" fontId="24" fillId="0" borderId="0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center" wrapText="1"/>
    </xf>
    <xf numFmtId="0" fontId="14" fillId="0" borderId="17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165" fontId="17" fillId="0" borderId="6" applyAlignment="1" pivotButton="0" quotePrefix="0" xfId="0">
      <alignment horizontal="center" vertical="center" wrapText="1"/>
    </xf>
    <xf numFmtId="165" fontId="14" fillId="0" borderId="6" applyAlignment="1" pivotButton="0" quotePrefix="0" xfId="0">
      <alignment horizontal="center" vertical="center"/>
    </xf>
    <xf numFmtId="0" fontId="17" fillId="0" borderId="7" applyAlignment="1" pivotButton="0" quotePrefix="0" xfId="0">
      <alignment horizontal="center" vertical="center"/>
    </xf>
    <xf numFmtId="0" fontId="27" fillId="0" borderId="6" applyAlignment="1" pivotButton="0" quotePrefix="0" xfId="0">
      <alignment vertical="center"/>
    </xf>
    <xf numFmtId="0" fontId="19" fillId="0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right" vertical="center"/>
    </xf>
    <xf numFmtId="165" fontId="14" fillId="0" borderId="6" applyAlignment="1" pivotButton="0" quotePrefix="0" xfId="0">
      <alignment vertical="center"/>
    </xf>
    <xf numFmtId="0" fontId="20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165" fontId="14" fillId="0" borderId="0" applyAlignment="1" pivotButton="0" quotePrefix="0" xfId="0">
      <alignment vertical="center"/>
    </xf>
    <xf numFmtId="0" fontId="14" fillId="0" borderId="6" applyAlignment="1" pivotButton="0" quotePrefix="0" xfId="0">
      <alignment vertical="center"/>
    </xf>
    <xf numFmtId="0" fontId="22" fillId="0" borderId="6" applyAlignment="1" pivotButton="0" quotePrefix="0" xfId="0">
      <alignment vertical="center" wrapText="1"/>
    </xf>
    <xf numFmtId="0" fontId="28" fillId="0" borderId="17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/>
    </xf>
    <xf numFmtId="0" fontId="30" fillId="0" borderId="17" applyAlignment="1" pivotButton="0" quotePrefix="0" xfId="0">
      <alignment horizontal="center" vertical="center" wrapText="1"/>
    </xf>
    <xf numFmtId="0" fontId="31" fillId="0" borderId="6" applyAlignment="1" pivotButton="0" quotePrefix="0" xfId="0">
      <alignment horizontal="center" vertical="center"/>
    </xf>
    <xf numFmtId="0" fontId="31" fillId="0" borderId="6" applyAlignment="1" pivotButton="0" quotePrefix="0" xfId="0">
      <alignment horizontal="center" vertical="center" wrapText="1"/>
    </xf>
    <xf numFmtId="0" fontId="32" fillId="0" borderId="17" applyAlignment="1" pivotButton="0" quotePrefix="0" xfId="0">
      <alignment horizontal="center" vertical="center"/>
    </xf>
    <xf numFmtId="0" fontId="32" fillId="0" borderId="17" applyAlignment="1" pivotButton="0" quotePrefix="0" xfId="0">
      <alignment horizontal="center" vertical="center" wrapText="1"/>
    </xf>
    <xf numFmtId="0" fontId="32" fillId="0" borderId="29" applyAlignment="1" pivotButton="0" quotePrefix="0" xfId="0">
      <alignment horizontal="center" vertical="center" wrapText="1"/>
    </xf>
    <xf numFmtId="0" fontId="28" fillId="0" borderId="6" applyAlignment="1" pivotButton="0" quotePrefix="0" xfId="0">
      <alignment horizontal="center" vertical="center" wrapText="1"/>
    </xf>
    <xf numFmtId="0" fontId="28" fillId="0" borderId="3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0" fontId="20" fillId="0" borderId="3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4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49" fontId="5" fillId="0" borderId="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4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26" applyAlignment="1" pivotButton="0" quotePrefix="0" xfId="0">
      <alignment horizontal="center" vertical="center" wrapText="1"/>
    </xf>
    <xf numFmtId="0" fontId="14" fillId="0" borderId="23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164" fontId="7" fillId="0" borderId="26" applyAlignment="1" pivotButton="0" quotePrefix="0" xfId="0">
      <alignment horizontal="center" vertical="center" wrapText="1"/>
    </xf>
    <xf numFmtId="164" fontId="7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17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21" fillId="0" borderId="17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17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 wrapText="1"/>
    </xf>
    <xf numFmtId="0" fontId="20" fillId="0" borderId="32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16" pivotButton="0" quotePrefix="0" xfId="0"/>
    <xf numFmtId="0" fontId="0" fillId="0" borderId="17" pivotButton="0" quotePrefix="0" xfId="0"/>
    <xf numFmtId="164" fontId="6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wrapText="1"/>
    </xf>
    <xf numFmtId="0" fontId="0" fillId="0" borderId="12" pivotButton="0" quotePrefix="0" xfId="0"/>
    <xf numFmtId="0" fontId="0" fillId="0" borderId="14" pivotButton="0" quotePrefix="0" xfId="0"/>
    <xf numFmtId="164" fontId="12" fillId="0" borderId="24" applyAlignment="1" pivotButton="0" quotePrefix="0" xfId="0">
      <alignment horizontal="center" vertical="center" wrapText="1"/>
    </xf>
    <xf numFmtId="0" fontId="0" fillId="0" borderId="23" pivotButton="0" quotePrefix="0" xfId="0"/>
    <xf numFmtId="164" fontId="7" fillId="0" borderId="24" applyAlignment="1" pivotButton="0" quotePrefix="0" xfId="0">
      <alignment horizontal="center" vertical="center" wrapText="1"/>
    </xf>
    <xf numFmtId="164" fontId="7" fillId="0" borderId="21" applyAlignment="1" pivotButton="0" quotePrefix="0" xfId="0">
      <alignment horizontal="center" vertical="center" wrapText="1"/>
    </xf>
    <xf numFmtId="0" fontId="20" fillId="0" borderId="6" applyAlignment="1" pivotButton="0" quotePrefix="0" xfId="0">
      <alignment horizontal="center" vertical="center"/>
    </xf>
    <xf numFmtId="0" fontId="0" fillId="0" borderId="31" pivotButton="0" quotePrefix="0" xfId="0"/>
    <xf numFmtId="0" fontId="10" fillId="0" borderId="6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0" fillId="0" borderId="30" pivotButton="0" quotePrefix="0" xfId="0"/>
    <xf numFmtId="165" fontId="17" fillId="0" borderId="6" applyAlignment="1" pivotButton="0" quotePrefix="0" xfId="0">
      <alignment horizontal="center" vertical="center" wrapText="1"/>
    </xf>
    <xf numFmtId="165" fontId="14" fillId="0" borderId="6" applyAlignment="1" pivotButton="0" quotePrefix="0" xfId="0">
      <alignment vertical="center"/>
    </xf>
    <xf numFmtId="165" fontId="14" fillId="0" borderId="6" applyAlignment="1" pivotButton="0" quotePrefix="0" xfId="0">
      <alignment horizontal="center" vertical="center"/>
    </xf>
    <xf numFmtId="165" fontId="24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:I19"/>
    </sheetView>
  </sheetViews>
  <sheetFormatPr baseColWidth="8" defaultRowHeight="16.2"/>
  <cols>
    <col width="10.44140625" customWidth="1" style="181" min="8" max="8"/>
    <col width="9.77734375" customWidth="1" style="181" min="9" max="9"/>
  </cols>
  <sheetData>
    <row r="1" ht="32.25" customHeight="1" s="181" thickBot="1">
      <c r="A1" s="146" t="inlineStr">
        <is>
          <t>代課一覽表(108/4/01至108/4/30)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51" t="inlineStr">
        <is>
          <t>代課老師</t>
        </is>
      </c>
    </row>
    <row r="3" ht="27.6" customHeight="1" s="181">
      <c r="A3" s="46" t="inlineStr">
        <is>
          <t>黃敬芸</t>
        </is>
      </c>
      <c r="B3" s="47" t="inlineStr">
        <is>
          <t>4/23</t>
        </is>
      </c>
      <c r="C3" s="141" t="inlineStr">
        <is>
          <t>二</t>
        </is>
      </c>
      <c r="D3" s="141" t="inlineStr">
        <is>
          <t>1日</t>
        </is>
      </c>
      <c r="E3" s="47" t="n"/>
      <c r="F3" s="141" t="n"/>
      <c r="G3" s="49" t="inlineStr">
        <is>
          <t>公</t>
        </is>
      </c>
      <c r="H3" s="50" t="inlineStr">
        <is>
          <t>1080020909</t>
        </is>
      </c>
      <c r="I3" s="51" t="inlineStr">
        <is>
          <t>孫寧穗</t>
        </is>
      </c>
    </row>
    <row r="4">
      <c r="A4" s="46" t="inlineStr">
        <is>
          <t>黃博盟</t>
        </is>
      </c>
      <c r="B4" s="47" t="inlineStr">
        <is>
          <t>4/30</t>
        </is>
      </c>
      <c r="C4" s="141" t="inlineStr">
        <is>
          <t>二</t>
        </is>
      </c>
      <c r="D4" s="141" t="inlineStr">
        <is>
          <t>3節</t>
        </is>
      </c>
      <c r="E4" s="47" t="inlineStr">
        <is>
          <t>1-3</t>
        </is>
      </c>
      <c r="F4" s="141" t="n">
        <v>3</v>
      </c>
      <c r="G4" s="49" t="inlineStr">
        <is>
          <t>公</t>
        </is>
      </c>
      <c r="H4" s="50" t="inlineStr">
        <is>
          <t>鐵馬安偏鄉素養共學活動</t>
        </is>
      </c>
      <c r="I4" s="30" t="inlineStr">
        <is>
          <t>黃加淳</t>
        </is>
      </c>
    </row>
    <row r="5">
      <c r="A5" s="46" t="inlineStr">
        <is>
          <t>魏瑋婷</t>
        </is>
      </c>
      <c r="B5" s="7" t="inlineStr">
        <is>
          <t>4/30</t>
        </is>
      </c>
      <c r="C5" s="141" t="inlineStr">
        <is>
          <t>二</t>
        </is>
      </c>
      <c r="D5" s="141" t="inlineStr">
        <is>
          <t>1節</t>
        </is>
      </c>
      <c r="E5" s="7" t="inlineStr">
        <is>
          <t>2</t>
        </is>
      </c>
      <c r="F5" s="49" t="n">
        <v>1</v>
      </c>
      <c r="G5" s="49" t="inlineStr">
        <is>
          <t>公</t>
        </is>
      </c>
      <c r="H5" s="183" t="n"/>
      <c r="I5" s="30" t="inlineStr">
        <is>
          <t>陳嘉幸</t>
        </is>
      </c>
    </row>
    <row r="6">
      <c r="A6" s="46" t="inlineStr">
        <is>
          <t>鍾劭謙</t>
        </is>
      </c>
      <c r="B6" s="7" t="inlineStr">
        <is>
          <t>4/30</t>
        </is>
      </c>
      <c r="C6" s="141" t="inlineStr">
        <is>
          <t>二</t>
        </is>
      </c>
      <c r="D6" s="141" t="inlineStr">
        <is>
          <t>2節</t>
        </is>
      </c>
      <c r="E6" s="7" t="inlineStr">
        <is>
          <t>1-2</t>
        </is>
      </c>
      <c r="F6" s="49" t="n">
        <v>2</v>
      </c>
      <c r="G6" s="49" t="inlineStr">
        <is>
          <t>公</t>
        </is>
      </c>
      <c r="H6" s="183" t="n"/>
      <c r="I6" s="8" t="inlineStr">
        <is>
          <t>李瑜華</t>
        </is>
      </c>
    </row>
    <row r="7">
      <c r="A7" s="46" t="inlineStr">
        <is>
          <t>林慧芸</t>
        </is>
      </c>
      <c r="B7" s="7" t="inlineStr">
        <is>
          <t>4/30</t>
        </is>
      </c>
      <c r="C7" s="141" t="inlineStr">
        <is>
          <t>二</t>
        </is>
      </c>
      <c r="D7" s="141" t="inlineStr">
        <is>
          <t>2節</t>
        </is>
      </c>
      <c r="E7" s="7" t="inlineStr">
        <is>
          <t>1、3</t>
        </is>
      </c>
      <c r="F7" s="49" t="n">
        <v>2</v>
      </c>
      <c r="G7" s="141" t="inlineStr">
        <is>
          <t>公</t>
        </is>
      </c>
      <c r="H7" s="184" t="n"/>
      <c r="I7" s="8" t="inlineStr">
        <is>
          <t>陳妍諠</t>
        </is>
      </c>
    </row>
    <row r="8" ht="16.8" customHeight="1" s="181" thickBot="1">
      <c r="A8" s="9" t="inlineStr">
        <is>
          <t>合計</t>
        </is>
      </c>
      <c r="B8" s="185" t="n"/>
      <c r="C8" s="11" t="n"/>
      <c r="D8" s="12" t="n"/>
      <c r="E8" s="12" t="n"/>
      <c r="F8" s="12">
        <f>SUM(F3:F7)</f>
        <v/>
      </c>
      <c r="G8" s="12" t="n"/>
      <c r="H8" s="13" t="n"/>
      <c r="I8" s="14" t="n"/>
    </row>
    <row r="9">
      <c r="A9" s="15" t="n"/>
      <c r="B9" s="164" t="n"/>
      <c r="C9" s="15" t="n"/>
      <c r="D9" s="15" t="n"/>
      <c r="E9" s="15" t="n"/>
      <c r="F9" s="15" t="n"/>
      <c r="G9" s="15" t="n"/>
      <c r="H9" s="17" t="n"/>
      <c r="I9" s="15" t="n"/>
    </row>
    <row r="10" ht="32.4" customHeight="1" s="181">
      <c r="A10" s="17" t="inlineStr">
        <is>
          <t>教務組長</t>
        </is>
      </c>
      <c r="B10" s="21" t="n"/>
      <c r="C10" s="19" t="n"/>
      <c r="D10" s="19" t="inlineStr">
        <is>
          <t>教務主任</t>
        </is>
      </c>
      <c r="E10" s="19" t="n"/>
      <c r="F10" s="15" t="n"/>
      <c r="G10" s="20" t="inlineStr">
        <is>
          <t>校長</t>
        </is>
      </c>
      <c r="H10" s="21" t="n"/>
      <c r="I10" s="15" t="n"/>
    </row>
    <row r="14">
      <c r="A14" s="186" t="inlineStr">
        <is>
          <t>馬鳴國小代課費領款計算表
(108/4/01至108/4/30)</t>
        </is>
      </c>
    </row>
    <row r="15" ht="39" customHeight="1" s="181">
      <c r="A15" s="187" t="n"/>
      <c r="B15" s="187" t="n"/>
      <c r="C15" s="187" t="n"/>
      <c r="D15" s="187" t="n"/>
      <c r="E15" s="187" t="n"/>
      <c r="F15" s="187" t="n"/>
      <c r="G15" s="187" t="n"/>
      <c r="H15" s="147" t="n"/>
      <c r="I15" s="147" t="n"/>
    </row>
    <row r="16">
      <c r="A16" s="141" t="inlineStr">
        <is>
          <t>代課教師</t>
        </is>
      </c>
      <c r="B16" s="141" t="inlineStr">
        <is>
          <t>公假</t>
        </is>
      </c>
      <c r="C16" s="141" t="inlineStr">
        <is>
          <t>合計全日</t>
        </is>
      </c>
      <c r="D16" s="141" t="inlineStr">
        <is>
          <t>合計鐘點</t>
        </is>
      </c>
      <c r="E16" s="141" t="inlineStr">
        <is>
          <t>金額合計</t>
        </is>
      </c>
      <c r="F16" s="188" t="n"/>
      <c r="G16" s="141" t="inlineStr">
        <is>
          <t>備註</t>
        </is>
      </c>
    </row>
    <row r="17">
      <c r="A17" s="141" t="inlineStr">
        <is>
          <t>孫寧穗</t>
        </is>
      </c>
      <c r="B17" s="141" t="n">
        <v>1</v>
      </c>
      <c r="C17" s="141" t="n">
        <v>1</v>
      </c>
      <c r="D17" s="141" t="n"/>
      <c r="E17" s="141" t="n"/>
      <c r="F17" s="188" t="n"/>
      <c r="G17" s="25" t="n"/>
    </row>
    <row r="18">
      <c r="A18" s="141" t="inlineStr">
        <is>
          <t>黃加淳</t>
        </is>
      </c>
      <c r="B18" s="141" t="n"/>
      <c r="C18" s="141" t="n"/>
      <c r="D18" s="141" t="n">
        <v>3</v>
      </c>
      <c r="E18" s="141" t="n"/>
      <c r="F18" s="188" t="n"/>
      <c r="G18" s="25" t="n"/>
    </row>
    <row r="19">
      <c r="A19" s="141" t="inlineStr">
        <is>
          <t>陳嘉幸</t>
        </is>
      </c>
      <c r="B19" s="141" t="n"/>
      <c r="C19" s="141" t="n"/>
      <c r="D19" s="141" t="n">
        <v>1</v>
      </c>
      <c r="E19" s="141" t="n"/>
      <c r="F19" s="188" t="n"/>
      <c r="G19" s="25" t="n"/>
    </row>
    <row r="20">
      <c r="A20" s="141" t="inlineStr">
        <is>
          <t>李瑜華</t>
        </is>
      </c>
      <c r="B20" s="141" t="n"/>
      <c r="C20" s="141" t="n"/>
      <c r="D20" s="141" t="n">
        <v>2</v>
      </c>
      <c r="E20" s="141" t="n"/>
      <c r="F20" s="188" t="n"/>
      <c r="G20" s="25" t="n"/>
    </row>
    <row r="21">
      <c r="A21" s="141" t="inlineStr">
        <is>
          <t>陳妍諠</t>
        </is>
      </c>
      <c r="B21" s="141" t="n"/>
      <c r="C21" s="141" t="n"/>
      <c r="D21" s="141" t="n">
        <v>2</v>
      </c>
      <c r="E21" s="141" t="n"/>
      <c r="F21" s="188" t="n"/>
      <c r="G21" s="25" t="n"/>
    </row>
    <row r="22">
      <c r="A22" s="141" t="inlineStr">
        <is>
          <t>小計</t>
        </is>
      </c>
      <c r="B22" s="141" t="n"/>
      <c r="C22" s="141">
        <f>SUM(C17:C19)</f>
        <v/>
      </c>
      <c r="D22" s="141">
        <f>SUM(D17:D21)</f>
        <v/>
      </c>
      <c r="E22" s="141" t="n"/>
      <c r="F22" s="188" t="n"/>
      <c r="G22" s="142" t="n"/>
    </row>
    <row r="23">
      <c r="A23" s="15" t="n"/>
      <c r="B23" s="27" t="n"/>
      <c r="C23" s="27" t="n"/>
      <c r="D23" s="27" t="n"/>
      <c r="E23" s="27" t="n"/>
      <c r="F23" s="27" t="n"/>
      <c r="G23" s="15" t="n"/>
    </row>
    <row r="24" ht="32.4" customHeight="1" s="181">
      <c r="A24" s="17" t="inlineStr">
        <is>
          <t>教務組長</t>
        </is>
      </c>
      <c r="B24" s="21" t="n"/>
      <c r="C24" s="15" t="n"/>
      <c r="D24" s="20" t="inlineStr">
        <is>
          <t>教務主任</t>
        </is>
      </c>
      <c r="E24" s="28" t="n"/>
      <c r="F24" s="15" t="n"/>
      <c r="G24" s="20" t="inlineStr">
        <is>
          <t>校長</t>
        </is>
      </c>
    </row>
  </sheetData>
  <mergeCells count="10">
    <mergeCell ref="E20:F20"/>
    <mergeCell ref="A14:G15"/>
    <mergeCell ref="H4:H7"/>
    <mergeCell ref="E16:F16"/>
    <mergeCell ref="E19:F19"/>
    <mergeCell ref="A1:I1"/>
    <mergeCell ref="E22:F22"/>
    <mergeCell ref="E17:F17"/>
    <mergeCell ref="E18:F18"/>
    <mergeCell ref="E21:F2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:I19"/>
    </sheetView>
  </sheetViews>
  <sheetFormatPr baseColWidth="8" defaultRowHeight="16.2"/>
  <cols>
    <col width="7.6640625" customWidth="1" style="181" min="7" max="7"/>
    <col width="9.77734375" customWidth="1" style="181" min="8" max="8"/>
    <col width="14.109375" customWidth="1" style="181" min="9" max="9"/>
  </cols>
  <sheetData>
    <row r="1" ht="28.8" customHeight="1" s="181" thickBot="1">
      <c r="A1" s="146" t="inlineStr">
        <is>
          <t>代課一覽表(108/5/01至108/5/31)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51" t="inlineStr">
        <is>
          <t>代課老師</t>
        </is>
      </c>
    </row>
    <row r="3" ht="27.6" customHeight="1" s="181">
      <c r="A3" s="46" t="inlineStr">
        <is>
          <t>楊君頤</t>
        </is>
      </c>
      <c r="B3" s="47" t="inlineStr">
        <is>
          <t>5/3</t>
        </is>
      </c>
      <c r="C3" s="141" t="inlineStr">
        <is>
          <t>五</t>
        </is>
      </c>
      <c r="D3" s="141" t="inlineStr">
        <is>
          <t>1節</t>
        </is>
      </c>
      <c r="E3" s="47" t="inlineStr">
        <is>
          <t>2</t>
        </is>
      </c>
      <c r="F3" s="141" t="n">
        <v>1</v>
      </c>
      <c r="G3" s="49" t="inlineStr">
        <is>
          <t>公</t>
        </is>
      </c>
      <c r="H3" s="50" t="inlineStr">
        <is>
          <t>1080019834</t>
        </is>
      </c>
      <c r="I3" s="51" t="inlineStr">
        <is>
          <t>蔡志益</t>
        </is>
      </c>
    </row>
    <row r="4" ht="27.6" customHeight="1" s="181">
      <c r="A4" s="46" t="inlineStr">
        <is>
          <t>黃敬芸</t>
        </is>
      </c>
      <c r="B4" s="47" t="inlineStr">
        <is>
          <t>5/13</t>
        </is>
      </c>
      <c r="C4" s="141" t="inlineStr">
        <is>
          <t>一</t>
        </is>
      </c>
      <c r="D4" s="141" t="inlineStr">
        <is>
          <t>0.5日</t>
        </is>
      </c>
      <c r="E4" s="47" t="n"/>
      <c r="F4" s="141" t="n"/>
      <c r="G4" s="49" t="inlineStr">
        <is>
          <t>公</t>
        </is>
      </c>
      <c r="H4" s="50" t="inlineStr">
        <is>
          <t>1080036797</t>
        </is>
      </c>
      <c r="I4" s="30" t="inlineStr">
        <is>
          <t>李瑜華</t>
        </is>
      </c>
    </row>
    <row r="5" ht="27.6" customHeight="1" s="181">
      <c r="A5" s="46" t="inlineStr">
        <is>
          <t>黃敬芸</t>
        </is>
      </c>
      <c r="B5" s="47" t="inlineStr">
        <is>
          <t>5/14</t>
        </is>
      </c>
      <c r="C5" s="141" t="inlineStr">
        <is>
          <t>二</t>
        </is>
      </c>
      <c r="D5" s="141" t="inlineStr">
        <is>
          <t>1日</t>
        </is>
      </c>
      <c r="E5" s="7" t="n"/>
      <c r="F5" s="49" t="n"/>
      <c r="G5" s="49" t="inlineStr">
        <is>
          <t>公</t>
        </is>
      </c>
      <c r="H5" s="34" t="inlineStr">
        <is>
          <t>1080036797</t>
        </is>
      </c>
      <c r="I5" s="30" t="inlineStr">
        <is>
          <t>李瑜華</t>
        </is>
      </c>
    </row>
    <row r="6" ht="27.6" customHeight="1" s="181">
      <c r="A6" s="46" t="inlineStr">
        <is>
          <t>戴綿綿</t>
        </is>
      </c>
      <c r="B6" s="7" t="inlineStr">
        <is>
          <t>5/16</t>
        </is>
      </c>
      <c r="C6" s="141" t="inlineStr">
        <is>
          <t>四</t>
        </is>
      </c>
      <c r="D6" s="141" t="inlineStr">
        <is>
          <t>2節</t>
        </is>
      </c>
      <c r="E6" s="7" t="inlineStr">
        <is>
          <t>3-4</t>
        </is>
      </c>
      <c r="F6" s="49" t="n">
        <v>2</v>
      </c>
      <c r="G6" s="49" t="inlineStr">
        <is>
          <t>公</t>
        </is>
      </c>
      <c r="H6" s="34" t="inlineStr">
        <is>
          <t>1080045845</t>
        </is>
      </c>
      <c r="I6" s="8" t="inlineStr">
        <is>
          <t>陳怡嘉</t>
        </is>
      </c>
    </row>
    <row r="7" ht="27.6" customHeight="1" s="181">
      <c r="A7" s="46" t="inlineStr">
        <is>
          <t>黃博盟</t>
        </is>
      </c>
      <c r="B7" s="7" t="inlineStr">
        <is>
          <t>5/21</t>
        </is>
      </c>
      <c r="C7" s="141" t="inlineStr">
        <is>
          <t>二</t>
        </is>
      </c>
      <c r="D7" s="141" t="inlineStr">
        <is>
          <t>2節</t>
        </is>
      </c>
      <c r="E7" s="7" t="inlineStr">
        <is>
          <t>1-2</t>
        </is>
      </c>
      <c r="F7" s="49" t="n">
        <v>2</v>
      </c>
      <c r="G7" s="141" t="inlineStr">
        <is>
          <t>公</t>
        </is>
      </c>
      <c r="H7" s="34" t="inlineStr">
        <is>
          <t>1080040249</t>
        </is>
      </c>
      <c r="I7" s="8" t="inlineStr">
        <is>
          <t>蔡志益</t>
        </is>
      </c>
    </row>
    <row r="8" ht="27.6" customHeight="1" s="181">
      <c r="A8" s="31" t="inlineStr">
        <is>
          <t>魏瑋婷</t>
        </is>
      </c>
      <c r="B8" s="7" t="inlineStr">
        <is>
          <t>5/28</t>
        </is>
      </c>
      <c r="C8" s="49" t="inlineStr">
        <is>
          <t>二</t>
        </is>
      </c>
      <c r="D8" s="49" t="inlineStr">
        <is>
          <t>2節</t>
        </is>
      </c>
      <c r="E8" s="7" t="inlineStr">
        <is>
          <t>1-2</t>
        </is>
      </c>
      <c r="F8" s="49" t="n">
        <v>2</v>
      </c>
      <c r="G8" s="141" t="inlineStr">
        <is>
          <t>公</t>
        </is>
      </c>
      <c r="H8" s="35" t="inlineStr">
        <is>
          <t>1080044317</t>
        </is>
      </c>
      <c r="I8" s="8" t="inlineStr">
        <is>
          <t>陳怡嘉/王秋棉</t>
        </is>
      </c>
    </row>
    <row r="9" ht="16.8" customHeight="1" s="181" thickBot="1">
      <c r="A9" s="9" t="inlineStr">
        <is>
          <t>合計</t>
        </is>
      </c>
      <c r="B9" s="185" t="n"/>
      <c r="C9" s="11" t="n"/>
      <c r="D9" s="12" t="n"/>
      <c r="E9" s="12" t="n"/>
      <c r="F9" s="12">
        <f>SUM(F3:F8)</f>
        <v/>
      </c>
      <c r="G9" s="12" t="n"/>
      <c r="H9" s="13" t="n"/>
      <c r="I9" s="14" t="n"/>
    </row>
    <row r="10">
      <c r="A10" s="15" t="n"/>
      <c r="B10" s="164" t="n"/>
      <c r="C10" s="15" t="n"/>
      <c r="D10" s="15" t="n"/>
      <c r="E10" s="15" t="n"/>
      <c r="F10" s="15" t="n"/>
      <c r="G10" s="15" t="n"/>
      <c r="H10" s="17" t="n"/>
      <c r="I10" s="15" t="n"/>
    </row>
    <row r="11" ht="32.4" customHeight="1" s="181">
      <c r="A11" s="17" t="inlineStr">
        <is>
          <t>教務組長</t>
        </is>
      </c>
      <c r="B11" s="21" t="n"/>
      <c r="C11" s="19" t="n"/>
      <c r="D11" s="19" t="inlineStr">
        <is>
          <t>教務主任</t>
        </is>
      </c>
      <c r="E11" s="19" t="n"/>
      <c r="F11" s="15" t="n"/>
      <c r="G11" s="20" t="inlineStr">
        <is>
          <t>校長</t>
        </is>
      </c>
      <c r="H11" s="21" t="n"/>
      <c r="I11" s="15" t="n"/>
    </row>
    <row r="15">
      <c r="A15" s="186" t="inlineStr">
        <is>
          <t>馬鳴國小代課費領款計算表
(108/5/01至108/5/31)</t>
        </is>
      </c>
    </row>
    <row r="16" ht="47.25" customHeight="1" s="181">
      <c r="A16" s="187" t="n"/>
      <c r="B16" s="187" t="n"/>
      <c r="C16" s="187" t="n"/>
      <c r="D16" s="187" t="n"/>
      <c r="E16" s="187" t="n"/>
      <c r="F16" s="187" t="n"/>
      <c r="G16" s="187" t="n"/>
      <c r="H16" s="147" t="n"/>
      <c r="I16" s="147" t="n"/>
    </row>
    <row r="17">
      <c r="A17" s="141" t="inlineStr">
        <is>
          <t>代課教師</t>
        </is>
      </c>
      <c r="B17" s="141" t="inlineStr">
        <is>
          <t>公假</t>
        </is>
      </c>
      <c r="C17" s="141" t="inlineStr">
        <is>
          <t>合計全日</t>
        </is>
      </c>
      <c r="D17" s="141" t="inlineStr">
        <is>
          <t>合計鐘點</t>
        </is>
      </c>
      <c r="E17" s="141" t="inlineStr">
        <is>
          <t>金額合計</t>
        </is>
      </c>
      <c r="F17" s="188" t="n"/>
      <c r="G17" s="141" t="inlineStr">
        <is>
          <t>備註</t>
        </is>
      </c>
    </row>
    <row r="18">
      <c r="A18" s="141" t="inlineStr">
        <is>
          <t>蔡志益</t>
        </is>
      </c>
      <c r="B18" s="141" t="n"/>
      <c r="C18" s="141" t="n"/>
      <c r="D18" s="141" t="n">
        <v>3</v>
      </c>
      <c r="E18" s="141" t="n"/>
      <c r="F18" s="188" t="n"/>
      <c r="G18" s="25" t="n"/>
    </row>
    <row r="19">
      <c r="A19" s="141" t="inlineStr">
        <is>
          <t>李瑜華</t>
        </is>
      </c>
      <c r="B19" s="141" t="n"/>
      <c r="C19" s="141" t="n">
        <v>1.5</v>
      </c>
      <c r="D19" s="141" t="n"/>
      <c r="E19" s="141" t="n"/>
      <c r="F19" s="188" t="n"/>
      <c r="G19" s="25" t="n"/>
    </row>
    <row r="20">
      <c r="A20" s="141" t="inlineStr">
        <is>
          <t>陳怡嘉</t>
        </is>
      </c>
      <c r="B20" s="141" t="n"/>
      <c r="C20" s="141" t="n"/>
      <c r="D20" s="141" t="n">
        <v>3</v>
      </c>
      <c r="E20" s="141" t="n"/>
      <c r="F20" s="188" t="n"/>
      <c r="G20" s="25" t="n"/>
    </row>
    <row r="21">
      <c r="A21" s="141" t="inlineStr">
        <is>
          <t>王秋棉</t>
        </is>
      </c>
      <c r="B21" s="141" t="n"/>
      <c r="C21" s="141" t="n"/>
      <c r="D21" s="141" t="n">
        <v>1</v>
      </c>
      <c r="E21" s="141" t="n"/>
      <c r="F21" s="188" t="n"/>
      <c r="G21" s="25" t="n"/>
    </row>
    <row r="22">
      <c r="A22" s="141" t="inlineStr">
        <is>
          <t>小計</t>
        </is>
      </c>
      <c r="B22" s="141" t="n"/>
      <c r="C22" s="141">
        <f>SUM(C18:C20)</f>
        <v/>
      </c>
      <c r="D22" s="141">
        <f>SUM(D18:D21)</f>
        <v/>
      </c>
      <c r="E22" s="141" t="n"/>
      <c r="F22" s="188" t="n"/>
      <c r="G22" s="142" t="n"/>
    </row>
    <row r="23">
      <c r="A23" s="15" t="n"/>
      <c r="B23" s="27" t="n"/>
      <c r="C23" s="27" t="n"/>
      <c r="D23" s="27" t="n"/>
      <c r="E23" s="27" t="n"/>
      <c r="F23" s="27" t="n"/>
      <c r="G23" s="15" t="n"/>
    </row>
    <row r="24" ht="32.4" customHeight="1" s="181">
      <c r="A24" s="17" t="inlineStr">
        <is>
          <t>教務組長</t>
        </is>
      </c>
      <c r="B24" s="21" t="n"/>
      <c r="C24" s="15" t="n"/>
      <c r="D24" s="20" t="inlineStr">
        <is>
          <t>教務主任</t>
        </is>
      </c>
      <c r="E24" s="28" t="n"/>
      <c r="F24" s="15" t="n"/>
      <c r="G24" s="20" t="inlineStr">
        <is>
          <t>校長</t>
        </is>
      </c>
    </row>
  </sheetData>
  <mergeCells count="8">
    <mergeCell ref="E20:F20"/>
    <mergeCell ref="E19:F19"/>
    <mergeCell ref="A1:I1"/>
    <mergeCell ref="E22:F22"/>
    <mergeCell ref="A15:G16"/>
    <mergeCell ref="E17:F17"/>
    <mergeCell ref="E18:F18"/>
    <mergeCell ref="E21:F2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topLeftCell="A7" workbookViewId="0">
      <selection activeCell="A1" sqref="A1:I19"/>
    </sheetView>
  </sheetViews>
  <sheetFormatPr baseColWidth="8" defaultRowHeight="16.2"/>
  <cols>
    <col width="6.6640625" customWidth="1" style="181" min="5" max="5"/>
    <col width="7.44140625" customWidth="1" style="181" min="6" max="6"/>
    <col width="7.6640625" customWidth="1" style="181" min="7" max="7"/>
    <col width="10.109375" customWidth="1" style="181" min="8" max="8"/>
    <col width="14.77734375" customWidth="1" style="181" min="9" max="9"/>
  </cols>
  <sheetData>
    <row r="1" ht="28.8" customHeight="1" s="181" thickBot="1">
      <c r="A1" s="146" t="inlineStr">
        <is>
          <t>代課一覽表(108/6/01至108/6/30)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51" t="inlineStr">
        <is>
          <t>代課老師</t>
        </is>
      </c>
    </row>
    <row r="3" ht="27.6" customHeight="1" s="181">
      <c r="A3" s="46" t="inlineStr">
        <is>
          <t>黃博盟</t>
        </is>
      </c>
      <c r="B3" s="47" t="inlineStr">
        <is>
          <t>6/3</t>
        </is>
      </c>
      <c r="C3" s="141" t="inlineStr">
        <is>
          <t>一</t>
        </is>
      </c>
      <c r="D3" s="141" t="inlineStr">
        <is>
          <t>鐘點</t>
        </is>
      </c>
      <c r="E3" s="47" t="n"/>
      <c r="F3" s="141" t="n">
        <v>3</v>
      </c>
      <c r="G3" s="49" t="inlineStr">
        <is>
          <t>公</t>
        </is>
      </c>
      <c r="H3" s="50" t="inlineStr">
        <is>
          <t>1080047614</t>
        </is>
      </c>
      <c r="I3" s="51" t="inlineStr">
        <is>
          <t>黃加淳</t>
        </is>
      </c>
    </row>
    <row r="4" ht="32.4" customHeight="1" s="181">
      <c r="A4" s="46" t="inlineStr">
        <is>
          <t>戴綿綿</t>
        </is>
      </c>
      <c r="B4" s="47" t="inlineStr">
        <is>
          <t>6/4</t>
        </is>
      </c>
      <c r="C4" s="141" t="inlineStr">
        <is>
          <t>二</t>
        </is>
      </c>
      <c r="D4" s="141" t="inlineStr">
        <is>
          <t>鐘點</t>
        </is>
      </c>
      <c r="E4" s="47" t="n"/>
      <c r="F4" s="141" t="n">
        <v>2</v>
      </c>
      <c r="G4" s="49" t="inlineStr">
        <is>
          <t>公</t>
        </is>
      </c>
      <c r="H4" s="50" t="inlineStr">
        <is>
          <t>1080035871</t>
        </is>
      </c>
      <c r="I4" s="30" t="inlineStr">
        <is>
          <t>黃敬芸/陳怡嘉</t>
        </is>
      </c>
    </row>
    <row r="5">
      <c r="A5" s="46" t="inlineStr">
        <is>
          <t>王秋棉</t>
        </is>
      </c>
      <c r="B5" s="47" t="inlineStr">
        <is>
          <t>6/4</t>
        </is>
      </c>
      <c r="C5" s="141" t="inlineStr">
        <is>
          <t>二</t>
        </is>
      </c>
      <c r="D5" s="141" t="inlineStr">
        <is>
          <t>1日</t>
        </is>
      </c>
      <c r="E5" s="7" t="n"/>
      <c r="F5" s="49" t="n"/>
      <c r="G5" s="49" t="inlineStr">
        <is>
          <t>喪</t>
        </is>
      </c>
      <c r="H5" s="50" t="n"/>
      <c r="I5" s="30" t="inlineStr">
        <is>
          <t>黃加淳</t>
        </is>
      </c>
    </row>
    <row r="6" ht="27.6" customHeight="1" s="181">
      <c r="A6" s="46" t="inlineStr">
        <is>
          <t>戴綿綿</t>
        </is>
      </c>
      <c r="B6" s="47" t="inlineStr">
        <is>
          <t>6/6</t>
        </is>
      </c>
      <c r="C6" s="141" t="inlineStr">
        <is>
          <t>四</t>
        </is>
      </c>
      <c r="D6" s="141" t="inlineStr">
        <is>
          <t>鐘點</t>
        </is>
      </c>
      <c r="E6" s="7" t="n"/>
      <c r="F6" s="49" t="n">
        <v>2</v>
      </c>
      <c r="G6" s="49" t="inlineStr">
        <is>
          <t>公</t>
        </is>
      </c>
      <c r="H6" s="34" t="inlineStr">
        <is>
          <t>1080035871</t>
        </is>
      </c>
      <c r="I6" s="30" t="inlineStr">
        <is>
          <t>陳怡嘉</t>
        </is>
      </c>
    </row>
    <row r="7">
      <c r="A7" s="46" t="inlineStr">
        <is>
          <t>王秋棉</t>
        </is>
      </c>
      <c r="B7" s="7" t="inlineStr">
        <is>
          <t>6/10</t>
        </is>
      </c>
      <c r="C7" s="141" t="inlineStr">
        <is>
          <t>一</t>
        </is>
      </c>
      <c r="D7" s="141" t="inlineStr">
        <is>
          <t>1日</t>
        </is>
      </c>
      <c r="E7" s="7" t="n"/>
      <c r="F7" s="49" t="n"/>
      <c r="G7" s="49" t="inlineStr">
        <is>
          <t>喪</t>
        </is>
      </c>
      <c r="H7" s="34" t="n"/>
      <c r="I7" s="8" t="inlineStr">
        <is>
          <t>黃加淳</t>
        </is>
      </c>
    </row>
    <row r="8">
      <c r="A8" s="46" t="inlineStr">
        <is>
          <t>王秋棉</t>
        </is>
      </c>
      <c r="B8" s="7" t="inlineStr">
        <is>
          <t>6/11</t>
        </is>
      </c>
      <c r="C8" s="141" t="inlineStr">
        <is>
          <t>二</t>
        </is>
      </c>
      <c r="D8" s="141" t="inlineStr">
        <is>
          <t>1日</t>
        </is>
      </c>
      <c r="E8" s="7" t="n"/>
      <c r="F8" s="49" t="n"/>
      <c r="G8" s="141" t="inlineStr">
        <is>
          <t>喪</t>
        </is>
      </c>
      <c r="H8" s="34" t="n"/>
      <c r="I8" s="8" t="inlineStr">
        <is>
          <t>黃加淳</t>
        </is>
      </c>
    </row>
    <row r="9" ht="27.6" customHeight="1" s="181">
      <c r="A9" s="31" t="inlineStr">
        <is>
          <t>戴綿綿</t>
        </is>
      </c>
      <c r="B9" s="7" t="inlineStr">
        <is>
          <t>6/11</t>
        </is>
      </c>
      <c r="C9" s="49" t="inlineStr">
        <is>
          <t>二</t>
        </is>
      </c>
      <c r="D9" s="49" t="inlineStr">
        <is>
          <t>鐘點</t>
        </is>
      </c>
      <c r="E9" s="7" t="n"/>
      <c r="F9" s="49" t="n">
        <v>2</v>
      </c>
      <c r="G9" s="141" t="inlineStr">
        <is>
          <t>公</t>
        </is>
      </c>
      <c r="H9" s="35" t="inlineStr">
        <is>
          <t>1080029661</t>
        </is>
      </c>
      <c r="I9" s="8" t="inlineStr">
        <is>
          <t>黃敬芸/陳怡嘉</t>
        </is>
      </c>
    </row>
    <row r="10" ht="27.6" customHeight="1" s="181">
      <c r="A10" s="31" t="inlineStr">
        <is>
          <t>戴綿綿</t>
        </is>
      </c>
      <c r="B10" s="7" t="inlineStr">
        <is>
          <t>6/13</t>
        </is>
      </c>
      <c r="C10" s="49" t="inlineStr">
        <is>
          <t>四</t>
        </is>
      </c>
      <c r="D10" s="49" t="inlineStr">
        <is>
          <t>鐘點</t>
        </is>
      </c>
      <c r="E10" s="7" t="n"/>
      <c r="F10" s="49" t="n">
        <v>2</v>
      </c>
      <c r="G10" s="49" t="inlineStr">
        <is>
          <t>公</t>
        </is>
      </c>
      <c r="H10" s="35" t="inlineStr">
        <is>
          <t>1080029661</t>
        </is>
      </c>
      <c r="I10" s="8" t="inlineStr">
        <is>
          <t>陳怡嘉</t>
        </is>
      </c>
    </row>
    <row r="11" ht="27.6" customHeight="1" s="181">
      <c r="A11" s="31" t="inlineStr">
        <is>
          <t>戴綿綿</t>
        </is>
      </c>
      <c r="B11" s="7" t="inlineStr">
        <is>
          <t>6/18</t>
        </is>
      </c>
      <c r="C11" s="49" t="inlineStr">
        <is>
          <t>二</t>
        </is>
      </c>
      <c r="D11" s="49" t="inlineStr">
        <is>
          <t>鐘點</t>
        </is>
      </c>
      <c r="E11" s="7" t="n"/>
      <c r="F11" s="49" t="n">
        <v>1</v>
      </c>
      <c r="G11" s="49" t="inlineStr">
        <is>
          <t>公</t>
        </is>
      </c>
      <c r="H11" s="35" t="inlineStr">
        <is>
          <t>1080029661</t>
        </is>
      </c>
      <c r="I11" s="8" t="inlineStr">
        <is>
          <t>黃敬芸/陳怡嘉</t>
        </is>
      </c>
    </row>
    <row r="12">
      <c r="A12" s="31" t="inlineStr">
        <is>
          <t>王秋棉</t>
        </is>
      </c>
      <c r="B12" s="7" t="inlineStr">
        <is>
          <t>6/21</t>
        </is>
      </c>
      <c r="C12" s="49" t="inlineStr">
        <is>
          <t>五</t>
        </is>
      </c>
      <c r="D12" s="49" t="inlineStr">
        <is>
          <t>1日</t>
        </is>
      </c>
      <c r="E12" s="7" t="n"/>
      <c r="F12" s="49" t="n"/>
      <c r="G12" s="49" t="inlineStr">
        <is>
          <t>喪</t>
        </is>
      </c>
      <c r="H12" s="35" t="n"/>
      <c r="I12" s="8" t="inlineStr">
        <is>
          <t>黃加淳</t>
        </is>
      </c>
    </row>
    <row r="13" ht="27.6" customHeight="1" s="181">
      <c r="A13" s="31" t="inlineStr">
        <is>
          <t>戴綿綿</t>
        </is>
      </c>
      <c r="B13" s="7" t="inlineStr">
        <is>
          <t>6/25</t>
        </is>
      </c>
      <c r="C13" s="49" t="inlineStr">
        <is>
          <t>二</t>
        </is>
      </c>
      <c r="D13" s="49" t="inlineStr">
        <is>
          <t>鐘點</t>
        </is>
      </c>
      <c r="E13" s="7" t="n"/>
      <c r="F13" s="49" t="n">
        <v>1</v>
      </c>
      <c r="G13" s="49" t="inlineStr">
        <is>
          <t>公</t>
        </is>
      </c>
      <c r="H13" s="35" t="inlineStr">
        <is>
          <t>1080029661</t>
        </is>
      </c>
      <c r="I13" s="8" t="inlineStr">
        <is>
          <t>黃敬芸</t>
        </is>
      </c>
    </row>
    <row r="14" ht="16.8" customHeight="1" s="181" thickBot="1">
      <c r="A14" s="9" t="inlineStr">
        <is>
          <t>合計</t>
        </is>
      </c>
      <c r="B14" s="185" t="n"/>
      <c r="C14" s="11" t="n"/>
      <c r="D14" s="12" t="n"/>
      <c r="E14" s="12" t="n"/>
      <c r="F14" s="12">
        <f>SUM(F3:F13)</f>
        <v/>
      </c>
      <c r="G14" s="12" t="n"/>
      <c r="H14" s="13" t="n"/>
      <c r="I14" s="14" t="n"/>
    </row>
    <row r="15">
      <c r="A15" s="15" t="n"/>
      <c r="B15" s="164" t="n"/>
      <c r="C15" s="15" t="n"/>
      <c r="D15" s="15" t="n"/>
      <c r="E15" s="15" t="n"/>
      <c r="F15" s="15" t="n"/>
      <c r="G15" s="15" t="n"/>
      <c r="H15" s="17" t="n"/>
      <c r="I15" s="15" t="n"/>
    </row>
    <row r="16" ht="32.4" customHeight="1" s="181">
      <c r="A16" s="17" t="inlineStr">
        <is>
          <t>教務組長</t>
        </is>
      </c>
      <c r="B16" s="21" t="n"/>
      <c r="C16" s="19" t="n"/>
      <c r="D16" s="19" t="inlineStr">
        <is>
          <t>教務主任</t>
        </is>
      </c>
      <c r="E16" s="19" t="n"/>
      <c r="F16" s="15" t="n"/>
      <c r="G16" s="20" t="inlineStr">
        <is>
          <t>校長</t>
        </is>
      </c>
      <c r="H16" s="21" t="n"/>
      <c r="I16" s="15" t="n"/>
    </row>
    <row r="20">
      <c r="A20" s="186" t="inlineStr">
        <is>
          <t>馬鳴國小代課費領款計算表
(108/6/01至108/6/30)</t>
        </is>
      </c>
    </row>
    <row r="21" ht="41.25" customHeight="1" s="181">
      <c r="A21" s="187" t="n"/>
      <c r="B21" s="187" t="n"/>
      <c r="C21" s="187" t="n"/>
      <c r="D21" s="187" t="n"/>
      <c r="E21" s="187" t="n"/>
      <c r="F21" s="187" t="n"/>
      <c r="G21" s="187" t="n"/>
      <c r="H21" s="147" t="n"/>
      <c r="I21" s="147" t="n"/>
    </row>
    <row r="22">
      <c r="A22" s="141" t="inlineStr">
        <is>
          <t>代課教師</t>
        </is>
      </c>
      <c r="B22" s="141" t="inlineStr">
        <is>
          <t>公假</t>
        </is>
      </c>
      <c r="C22" s="141" t="inlineStr">
        <is>
          <t>合計全日</t>
        </is>
      </c>
      <c r="D22" s="141" t="inlineStr">
        <is>
          <t>合計鐘點</t>
        </is>
      </c>
      <c r="E22" s="141" t="inlineStr">
        <is>
          <t>金額合計</t>
        </is>
      </c>
      <c r="F22" s="188" t="n"/>
      <c r="G22" s="141" t="inlineStr">
        <is>
          <t>備註</t>
        </is>
      </c>
    </row>
    <row r="23">
      <c r="A23" s="141" t="inlineStr">
        <is>
          <t>黃加淳</t>
        </is>
      </c>
      <c r="B23" s="141" t="n"/>
      <c r="C23" s="141" t="n">
        <v>4</v>
      </c>
      <c r="D23" s="141" t="n">
        <v>3</v>
      </c>
      <c r="E23" s="141" t="n"/>
      <c r="F23" s="188" t="n"/>
      <c r="G23" s="141" t="n"/>
    </row>
    <row r="24">
      <c r="A24" s="141" t="inlineStr">
        <is>
          <t>黃敬芸</t>
        </is>
      </c>
      <c r="B24" s="141" t="n"/>
      <c r="C24" s="141" t="n"/>
      <c r="D24" s="141" t="n">
        <v>4</v>
      </c>
      <c r="E24" s="141" t="n"/>
      <c r="F24" s="188" t="n"/>
      <c r="G24" s="25" t="n"/>
    </row>
    <row r="25">
      <c r="A25" s="141" t="inlineStr">
        <is>
          <t>陳怡嘉</t>
        </is>
      </c>
      <c r="B25" s="141" t="n"/>
      <c r="C25" s="141" t="n"/>
      <c r="D25" s="141" t="n">
        <v>6</v>
      </c>
      <c r="E25" s="141" t="n"/>
      <c r="F25" s="188" t="n"/>
      <c r="G25" s="25" t="n"/>
    </row>
    <row r="26">
      <c r="A26" s="15" t="n"/>
      <c r="B26" s="27" t="n"/>
      <c r="C26" s="27" t="n"/>
      <c r="D26" s="27" t="n"/>
      <c r="E26" s="27" t="n"/>
      <c r="F26" s="27" t="n"/>
      <c r="G26" s="15" t="n"/>
    </row>
    <row r="27" ht="32.4" customHeight="1" s="181">
      <c r="A27" s="17" t="inlineStr">
        <is>
          <t>教務組長</t>
        </is>
      </c>
      <c r="B27" s="21" t="n"/>
      <c r="C27" s="15" t="n"/>
      <c r="D27" s="20" t="inlineStr">
        <is>
          <t>教務主任</t>
        </is>
      </c>
      <c r="E27" s="28" t="n"/>
      <c r="F27" s="15" t="n"/>
      <c r="G27" s="20" t="inlineStr">
        <is>
          <t>校長</t>
        </is>
      </c>
    </row>
  </sheetData>
  <mergeCells count="6">
    <mergeCell ref="E24:F24"/>
    <mergeCell ref="E25:F25"/>
    <mergeCell ref="A1:I1"/>
    <mergeCell ref="E23:F23"/>
    <mergeCell ref="A20:G21"/>
    <mergeCell ref="E22:F2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I19"/>
  <sheetViews>
    <sheetView workbookViewId="0">
      <selection activeCell="A1" sqref="A1:I19"/>
    </sheetView>
  </sheetViews>
  <sheetFormatPr baseColWidth="8" defaultRowHeight="16.2"/>
  <cols>
    <col width="9" customWidth="1" style="181" min="7" max="7"/>
    <col width="16.21875" customWidth="1" style="181" min="8" max="8"/>
  </cols>
  <sheetData>
    <row r="1" ht="28.8" customHeight="1" s="181" thickBot="1">
      <c r="A1" s="147" t="inlineStr">
        <is>
          <t>代課一覽表(108/9/01至108/9/30)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>
      <c r="A3" s="46" t="inlineStr">
        <is>
          <t>魏瑋婷</t>
        </is>
      </c>
      <c r="B3" s="47" t="inlineStr">
        <is>
          <t>9/5</t>
        </is>
      </c>
      <c r="C3" s="141" t="inlineStr">
        <is>
          <t>四</t>
        </is>
      </c>
      <c r="D3" s="141" t="inlineStr">
        <is>
          <t>1日</t>
        </is>
      </c>
      <c r="E3" s="47" t="n"/>
      <c r="F3" s="141" t="n"/>
      <c r="G3" s="49" t="inlineStr">
        <is>
          <t>公</t>
        </is>
      </c>
      <c r="H3" s="50" t="inlineStr">
        <is>
          <t>1080076179</t>
        </is>
      </c>
      <c r="I3" s="51" t="inlineStr">
        <is>
          <t>蔡志益</t>
        </is>
      </c>
    </row>
    <row r="4">
      <c r="A4" s="46" t="inlineStr">
        <is>
          <t>江俊傑</t>
        </is>
      </c>
      <c r="B4" s="47" t="inlineStr">
        <is>
          <t>9/6</t>
        </is>
      </c>
      <c r="C4" s="141" t="inlineStr">
        <is>
          <t>五</t>
        </is>
      </c>
      <c r="D4" s="141" t="inlineStr">
        <is>
          <t>鐘點</t>
        </is>
      </c>
      <c r="E4" s="47" t="n"/>
      <c r="F4" s="141" t="n">
        <v>1</v>
      </c>
      <c r="G4" s="49" t="inlineStr">
        <is>
          <t>公</t>
        </is>
      </c>
      <c r="H4" s="50" t="inlineStr">
        <is>
          <t>1080078320</t>
        </is>
      </c>
      <c r="I4" s="51" t="inlineStr">
        <is>
          <t>孫寧穗</t>
        </is>
      </c>
    </row>
    <row r="5">
      <c r="A5" s="46" t="inlineStr">
        <is>
          <t>魏瑋婷</t>
        </is>
      </c>
      <c r="B5" s="47" t="inlineStr">
        <is>
          <t>9/19</t>
        </is>
      </c>
      <c r="C5" s="141" t="inlineStr">
        <is>
          <t>四</t>
        </is>
      </c>
      <c r="D5" s="141" t="inlineStr">
        <is>
          <t>1日</t>
        </is>
      </c>
      <c r="E5" s="47" t="n"/>
      <c r="F5" s="141" t="n"/>
      <c r="G5" s="49" t="inlineStr">
        <is>
          <t>產前假</t>
        </is>
      </c>
      <c r="H5" s="50" t="n"/>
      <c r="I5" s="30" t="inlineStr">
        <is>
          <t>紀乃綺</t>
        </is>
      </c>
    </row>
    <row r="6" ht="16.8" customHeight="1" s="181" thickBot="1">
      <c r="A6" s="9" t="inlineStr">
        <is>
          <t>合計</t>
        </is>
      </c>
      <c r="B6" s="185" t="n"/>
      <c r="C6" s="11" t="n"/>
      <c r="D6" s="12" t="n"/>
      <c r="E6" s="12" t="n"/>
      <c r="F6" s="12">
        <f>SUM(F3:F5)</f>
        <v/>
      </c>
      <c r="G6" s="12" t="n"/>
      <c r="H6" s="13" t="n"/>
      <c r="I6" s="14" t="n"/>
    </row>
    <row r="7">
      <c r="A7" s="15" t="n"/>
      <c r="B7" s="164" t="n"/>
      <c r="C7" s="15" t="n"/>
      <c r="D7" s="15" t="n"/>
      <c r="E7" s="15" t="n"/>
      <c r="F7" s="15" t="n"/>
      <c r="G7" s="15" t="n"/>
      <c r="H7" s="17" t="n"/>
      <c r="I7" s="15" t="n"/>
    </row>
    <row r="8" ht="32.4" customHeight="1" s="181">
      <c r="A8" s="17" t="inlineStr">
        <is>
          <t>教務組長</t>
        </is>
      </c>
      <c r="B8" s="21" t="n"/>
      <c r="C8" s="19" t="n"/>
      <c r="D8" s="19" t="inlineStr">
        <is>
          <t>教務主任</t>
        </is>
      </c>
      <c r="E8" s="19" t="n"/>
      <c r="F8" s="15" t="n"/>
      <c r="G8" s="20" t="inlineStr">
        <is>
          <t>校長</t>
        </is>
      </c>
      <c r="H8" s="21" t="n"/>
      <c r="I8" s="15" t="n"/>
    </row>
    <row r="12">
      <c r="A12" s="186" t="inlineStr">
        <is>
          <t>馬鳴國小代課費領款計算表
(108/9/01至108/9/30)</t>
        </is>
      </c>
    </row>
    <row r="13" ht="71.25" customHeight="1" s="181">
      <c r="A13" s="187" t="n"/>
      <c r="B13" s="187" t="n"/>
      <c r="C13" s="187" t="n"/>
      <c r="D13" s="187" t="n"/>
      <c r="E13" s="187" t="n"/>
      <c r="F13" s="187" t="n"/>
      <c r="G13" s="187" t="n"/>
      <c r="H13" s="147" t="n"/>
      <c r="I13" s="147" t="n"/>
    </row>
    <row r="14" ht="63.75" customHeight="1" s="181">
      <c r="A14" s="141" t="inlineStr">
        <is>
          <t>代課教師</t>
        </is>
      </c>
      <c r="B14" s="141" t="inlineStr">
        <is>
          <t>公假</t>
        </is>
      </c>
      <c r="C14" s="141" t="inlineStr">
        <is>
          <t>合計全日</t>
        </is>
      </c>
      <c r="D14" s="141" t="inlineStr">
        <is>
          <t>合計鐘點</t>
        </is>
      </c>
      <c r="E14" s="141" t="inlineStr">
        <is>
          <t>金額合計</t>
        </is>
      </c>
      <c r="F14" s="188" t="n"/>
      <c r="G14" s="141" t="inlineStr">
        <is>
          <t>備註</t>
        </is>
      </c>
    </row>
    <row r="15">
      <c r="A15" s="141" t="inlineStr">
        <is>
          <t>蔡志益</t>
        </is>
      </c>
      <c r="B15" s="141" t="n">
        <v>1</v>
      </c>
      <c r="C15" s="141" t="n">
        <v>1</v>
      </c>
      <c r="D15" s="141" t="n"/>
      <c r="E15" s="141" t="n"/>
      <c r="F15" s="188" t="n"/>
      <c r="G15" s="141" t="n"/>
    </row>
    <row r="16">
      <c r="A16" s="141" t="inlineStr">
        <is>
          <t>孫寧穗</t>
        </is>
      </c>
      <c r="B16" s="141" t="n"/>
      <c r="C16" s="141" t="n"/>
      <c r="D16" s="141" t="n">
        <v>1</v>
      </c>
      <c r="E16" s="141" t="n"/>
      <c r="F16" s="188" t="n"/>
      <c r="G16" s="25" t="n"/>
    </row>
    <row r="17">
      <c r="A17" s="141" t="inlineStr">
        <is>
          <t>紀乃綺</t>
        </is>
      </c>
      <c r="B17" s="141" t="n">
        <v>1</v>
      </c>
      <c r="C17" s="141" t="n">
        <v>1</v>
      </c>
      <c r="D17" s="141" t="n"/>
      <c r="E17" s="141" t="n"/>
      <c r="F17" s="188" t="n"/>
      <c r="G17" s="25" t="n"/>
    </row>
    <row r="18">
      <c r="A18" s="15" t="n"/>
      <c r="B18" s="27" t="n"/>
      <c r="C18" s="27" t="n"/>
      <c r="D18" s="27" t="n"/>
      <c r="E18" s="27" t="n"/>
      <c r="F18" s="27" t="n"/>
      <c r="G18" s="15" t="n"/>
    </row>
    <row r="19" ht="32.4" customHeight="1" s="181">
      <c r="A19" s="17" t="inlineStr">
        <is>
          <t>教務組長</t>
        </is>
      </c>
      <c r="B19" s="21" t="n"/>
      <c r="C19" s="15" t="n"/>
      <c r="D19" s="20" t="inlineStr">
        <is>
          <t>教務主任</t>
        </is>
      </c>
      <c r="E19" s="28" t="n"/>
      <c r="F19" s="15" t="n"/>
      <c r="G19" s="20" t="inlineStr">
        <is>
          <t>校長</t>
        </is>
      </c>
    </row>
  </sheetData>
  <mergeCells count="6">
    <mergeCell ref="E16:F16"/>
    <mergeCell ref="E15:F15"/>
    <mergeCell ref="A1:I1"/>
    <mergeCell ref="A12:G13"/>
    <mergeCell ref="E14:F14"/>
    <mergeCell ref="E17:F17"/>
  </mergeCells>
  <pageMargins left="0.7" right="0.7" top="0.75" bottom="0.75" header="0.3" footer="0.3"/>
  <pageSetup orientation="landscape" paperSize="9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I20"/>
  <sheetViews>
    <sheetView workbookViewId="0">
      <selection activeCell="A1" sqref="A1:I19"/>
    </sheetView>
  </sheetViews>
  <sheetFormatPr baseColWidth="8" defaultRowHeight="16.2"/>
  <cols>
    <col width="15.77734375" customWidth="1" style="181" min="7" max="7"/>
    <col width="14.33203125" customWidth="1" style="181" min="8" max="8"/>
  </cols>
  <sheetData>
    <row r="1" ht="28.8" customHeight="1" s="181" thickBot="1">
      <c r="A1" s="147" t="inlineStr">
        <is>
          <t>代課一覽表(108/10/01至108/10/31)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27.6" customHeight="1" s="181">
      <c r="A3" s="46" t="inlineStr">
        <is>
          <t>黃敬芸</t>
        </is>
      </c>
      <c r="B3" s="47" t="inlineStr">
        <is>
          <t>10/21</t>
        </is>
      </c>
      <c r="C3" s="141" t="inlineStr">
        <is>
          <t>一</t>
        </is>
      </c>
      <c r="D3" s="141" t="inlineStr">
        <is>
          <t>1日</t>
        </is>
      </c>
      <c r="E3" s="47" t="n"/>
      <c r="F3" s="141" t="n"/>
      <c r="G3" s="49" t="inlineStr">
        <is>
          <t>公</t>
        </is>
      </c>
      <c r="H3" s="50" t="inlineStr">
        <is>
          <t>中市教特1080095862</t>
        </is>
      </c>
      <c r="I3" s="51" t="inlineStr">
        <is>
          <t>蔡志益</t>
        </is>
      </c>
    </row>
    <row r="4">
      <c r="A4" s="46" t="inlineStr">
        <is>
          <t>陳怡嘉</t>
        </is>
      </c>
      <c r="B4" s="47" t="inlineStr">
        <is>
          <t>10/21</t>
        </is>
      </c>
      <c r="C4" s="141" t="inlineStr">
        <is>
          <t>一</t>
        </is>
      </c>
      <c r="D4" s="141" t="inlineStr">
        <is>
          <t>1日</t>
        </is>
      </c>
      <c r="E4" s="47" t="n"/>
      <c r="F4" s="141" t="n"/>
      <c r="G4" s="39" t="inlineStr">
        <is>
          <t>107選務工作公排代</t>
        </is>
      </c>
      <c r="H4" s="50" t="n"/>
      <c r="I4" s="51" t="inlineStr">
        <is>
          <t>李君珮</t>
        </is>
      </c>
    </row>
    <row r="5" ht="27.6" customHeight="1" s="181">
      <c r="A5" s="46" t="inlineStr">
        <is>
          <t>魏瑋婷</t>
        </is>
      </c>
      <c r="B5" s="47" t="inlineStr">
        <is>
          <t>10/23</t>
        </is>
      </c>
      <c r="C5" s="141" t="inlineStr">
        <is>
          <t>三</t>
        </is>
      </c>
      <c r="D5" s="141" t="inlineStr">
        <is>
          <t>1日</t>
        </is>
      </c>
      <c r="E5" s="47" t="n"/>
      <c r="F5" s="141" t="n"/>
      <c r="G5" s="49" t="inlineStr">
        <is>
          <t>公</t>
        </is>
      </c>
      <c r="H5" s="50" t="inlineStr">
        <is>
          <t>中市教課1080095273</t>
        </is>
      </c>
      <c r="I5" s="51" t="inlineStr">
        <is>
          <t>紀乃綺</t>
        </is>
      </c>
    </row>
    <row r="6" ht="27.6" customHeight="1" s="181">
      <c r="A6" s="46" t="inlineStr">
        <is>
          <t>黃敬芸</t>
        </is>
      </c>
      <c r="B6" s="47" t="inlineStr">
        <is>
          <t>10/25</t>
        </is>
      </c>
      <c r="C6" s="141" t="inlineStr">
        <is>
          <t>五</t>
        </is>
      </c>
      <c r="D6" s="141" t="inlineStr">
        <is>
          <t>1日</t>
        </is>
      </c>
      <c r="E6" s="47" t="n"/>
      <c r="F6" s="141" t="n"/>
      <c r="G6" s="49" t="inlineStr">
        <is>
          <t>公</t>
        </is>
      </c>
      <c r="H6" s="50" t="inlineStr">
        <is>
          <t>中市教特1080095862</t>
        </is>
      </c>
      <c r="I6" s="30" t="inlineStr">
        <is>
          <t>李君珮</t>
        </is>
      </c>
    </row>
    <row r="7" ht="16.8" customHeight="1" s="181" thickBot="1">
      <c r="A7" s="9" t="inlineStr">
        <is>
          <t>合計</t>
        </is>
      </c>
      <c r="B7" s="185" t="n"/>
      <c r="C7" s="11" t="n"/>
      <c r="D7" s="12" t="inlineStr">
        <is>
          <t>4日</t>
        </is>
      </c>
      <c r="E7" s="12" t="n"/>
      <c r="F7" s="12">
        <f>SUM(F3:F6)</f>
        <v/>
      </c>
      <c r="G7" s="12" t="n"/>
      <c r="H7" s="13" t="n"/>
      <c r="I7" s="14" t="n"/>
    </row>
    <row r="8">
      <c r="A8" s="15" t="n"/>
      <c r="B8" s="164" t="n"/>
      <c r="C8" s="15" t="n"/>
      <c r="D8" s="15" t="n"/>
      <c r="E8" s="15" t="n"/>
      <c r="F8" s="15" t="n"/>
      <c r="G8" s="15" t="n"/>
      <c r="H8" s="17" t="n"/>
      <c r="I8" s="15" t="n"/>
    </row>
    <row r="9" ht="32.4" customHeight="1" s="181">
      <c r="A9" s="17" t="inlineStr">
        <is>
          <t>教務組長</t>
        </is>
      </c>
      <c r="B9" s="21" t="n"/>
      <c r="C9" s="19" t="n"/>
      <c r="D9" s="19" t="inlineStr">
        <is>
          <t>教務主任</t>
        </is>
      </c>
      <c r="E9" s="19" t="n"/>
      <c r="F9" s="15" t="n"/>
      <c r="G9" s="20" t="inlineStr">
        <is>
          <t>校長</t>
        </is>
      </c>
      <c r="H9" s="21" t="n"/>
      <c r="I9" s="15" t="n"/>
    </row>
    <row r="13">
      <c r="A13" s="186" t="inlineStr">
        <is>
          <t>馬鳴國小代課費領款計算表
(108/10/01至108/10/31)</t>
        </is>
      </c>
    </row>
    <row r="14" ht="55.5" customHeight="1" s="181">
      <c r="A14" s="187" t="n"/>
      <c r="B14" s="187" t="n"/>
      <c r="C14" s="187" t="n"/>
      <c r="D14" s="187" t="n"/>
      <c r="E14" s="187" t="n"/>
      <c r="F14" s="187" t="n"/>
      <c r="G14" s="187" t="n"/>
      <c r="H14" s="147" t="n"/>
      <c r="I14" s="147" t="n"/>
    </row>
    <row r="15">
      <c r="A15" s="141" t="inlineStr">
        <is>
          <t>代課教師</t>
        </is>
      </c>
      <c r="B15" s="141" t="inlineStr">
        <is>
          <t>公假</t>
        </is>
      </c>
      <c r="C15" s="141" t="inlineStr">
        <is>
          <t>合計全日</t>
        </is>
      </c>
      <c r="D15" s="141" t="inlineStr">
        <is>
          <t>合計鐘點</t>
        </is>
      </c>
      <c r="E15" s="141" t="inlineStr">
        <is>
          <t>金額合計</t>
        </is>
      </c>
      <c r="F15" s="188" t="n"/>
      <c r="G15" s="141" t="inlineStr">
        <is>
          <t>備註</t>
        </is>
      </c>
    </row>
    <row r="16">
      <c r="A16" s="141" t="inlineStr">
        <is>
          <t>蔡志益</t>
        </is>
      </c>
      <c r="B16" s="141" t="n">
        <v>1</v>
      </c>
      <c r="C16" s="141" t="n">
        <v>1</v>
      </c>
      <c r="D16" s="141" t="n"/>
      <c r="E16" s="141" t="n"/>
      <c r="F16" s="188" t="n"/>
      <c r="G16" s="141" t="n"/>
    </row>
    <row r="17">
      <c r="A17" s="141" t="inlineStr">
        <is>
          <t>李君珮</t>
        </is>
      </c>
      <c r="B17" s="141" t="n">
        <v>2</v>
      </c>
      <c r="C17" s="141" t="n">
        <v>2</v>
      </c>
      <c r="D17" s="141" t="n"/>
      <c r="E17" s="141" t="n"/>
      <c r="F17" s="188" t="n"/>
      <c r="G17" s="25" t="n"/>
    </row>
    <row r="18">
      <c r="A18" s="141" t="inlineStr">
        <is>
          <t>紀乃綺</t>
        </is>
      </c>
      <c r="B18" s="141" t="n">
        <v>1</v>
      </c>
      <c r="C18" s="141" t="n">
        <v>1</v>
      </c>
      <c r="D18" s="141" t="n"/>
      <c r="E18" s="141" t="n"/>
      <c r="F18" s="188" t="n"/>
      <c r="G18" s="25" t="n"/>
    </row>
    <row r="19">
      <c r="A19" s="15" t="n"/>
      <c r="B19" s="27" t="n"/>
      <c r="C19" s="27" t="n"/>
      <c r="D19" s="27" t="n"/>
      <c r="E19" s="27" t="n"/>
      <c r="F19" s="27" t="n"/>
      <c r="G19" s="15" t="n"/>
    </row>
    <row r="20" ht="32.4" customHeight="1" s="181">
      <c r="A20" s="17" t="inlineStr">
        <is>
          <t>教務組長</t>
        </is>
      </c>
      <c r="B20" s="21" t="n"/>
      <c r="C20" s="15" t="n"/>
      <c r="D20" s="20" t="inlineStr">
        <is>
          <t>教務主任</t>
        </is>
      </c>
      <c r="E20" s="28" t="n"/>
      <c r="F20" s="15" t="n"/>
      <c r="G20" s="20" t="inlineStr">
        <is>
          <t>校長</t>
        </is>
      </c>
    </row>
  </sheetData>
  <mergeCells count="6">
    <mergeCell ref="E16:F16"/>
    <mergeCell ref="E15:F15"/>
    <mergeCell ref="A13:G14"/>
    <mergeCell ref="A1:I1"/>
    <mergeCell ref="E17:F17"/>
    <mergeCell ref="E18:F18"/>
  </mergeCells>
  <pageMargins left="0.7" right="0.7" top="0.75" bottom="0.75" header="0.3" footer="0.3"/>
  <pageSetup orientation="portrait" paperSize="9" scale="93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I33"/>
  <sheetViews>
    <sheetView topLeftCell="A16" workbookViewId="0">
      <selection activeCell="A1" sqref="A1:I19"/>
    </sheetView>
  </sheetViews>
  <sheetFormatPr baseColWidth="8" defaultRowHeight="16.2"/>
  <cols>
    <col width="16" customWidth="1" style="181" min="2" max="2"/>
    <col width="12.88671875" customWidth="1" style="181" min="8" max="8"/>
  </cols>
  <sheetData>
    <row r="1" ht="28.8" customHeight="1" s="181" thickBot="1">
      <c r="A1" s="147" t="inlineStr">
        <is>
          <t>代課一覽表(108/11/01至108/11/30)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27.6" customHeight="1" s="181">
      <c r="A3" s="46" t="inlineStr">
        <is>
          <t>江俊傑</t>
        </is>
      </c>
      <c r="B3" s="47" t="inlineStr">
        <is>
          <t>11/5</t>
        </is>
      </c>
      <c r="C3" s="141" t="inlineStr">
        <is>
          <t>二</t>
        </is>
      </c>
      <c r="D3" s="141" t="n"/>
      <c r="E3" s="141" t="n"/>
      <c r="F3" s="141" t="n">
        <v>1</v>
      </c>
      <c r="G3" s="49" t="inlineStr">
        <is>
          <t>公</t>
        </is>
      </c>
      <c r="H3" s="50" t="inlineStr">
        <is>
          <t>中市教體1080091683</t>
        </is>
      </c>
      <c r="I3" s="51" t="inlineStr">
        <is>
          <t>黃敬芸</t>
        </is>
      </c>
    </row>
    <row r="4">
      <c r="A4" s="46" t="inlineStr">
        <is>
          <t>江俊傑</t>
        </is>
      </c>
      <c r="B4" s="47" t="inlineStr">
        <is>
          <t>11/6</t>
        </is>
      </c>
      <c r="C4" s="141" t="inlineStr">
        <is>
          <t>三</t>
        </is>
      </c>
      <c r="D4" s="141" t="n"/>
      <c r="E4" s="141" t="n"/>
      <c r="F4" s="141" t="n">
        <v>2</v>
      </c>
      <c r="G4" s="49" t="inlineStr">
        <is>
          <t>公</t>
        </is>
      </c>
      <c r="H4" s="50" t="n"/>
      <c r="I4" s="51" t="inlineStr">
        <is>
          <t>楊婉瑄</t>
        </is>
      </c>
    </row>
    <row r="5">
      <c r="A5" s="46" t="inlineStr">
        <is>
          <t>江俊傑</t>
        </is>
      </c>
      <c r="B5" s="47" t="inlineStr">
        <is>
          <t>11/7</t>
        </is>
      </c>
      <c r="C5" s="141" t="inlineStr">
        <is>
          <t>四</t>
        </is>
      </c>
      <c r="D5" s="141" t="n"/>
      <c r="E5" s="141" t="n"/>
      <c r="F5" s="141" t="n">
        <v>1</v>
      </c>
      <c r="G5" s="49" t="inlineStr">
        <is>
          <t>公</t>
        </is>
      </c>
      <c r="H5" s="50" t="n"/>
      <c r="I5" s="51" t="inlineStr">
        <is>
          <t>李瑜華</t>
        </is>
      </c>
    </row>
    <row r="6" ht="97.2" customHeight="1" s="181">
      <c r="A6" s="46" t="inlineStr">
        <is>
          <t>江俊傑</t>
        </is>
      </c>
      <c r="B6" s="42" t="inlineStr">
        <is>
          <t>11/8、11/12、11/14、11/19、11/21、11/26、11/27、11/28</t>
        </is>
      </c>
      <c r="C6" s="141" t="n"/>
      <c r="D6" s="141" t="n"/>
      <c r="E6" s="141" t="n"/>
      <c r="F6" s="141" t="n">
        <v>10</v>
      </c>
      <c r="G6" s="49" t="inlineStr">
        <is>
          <t>公</t>
        </is>
      </c>
      <c r="H6" s="50" t="n"/>
      <c r="I6" s="51" t="inlineStr">
        <is>
          <t>蔡志益</t>
        </is>
      </c>
    </row>
    <row r="7" ht="32.4" customHeight="1" s="181">
      <c r="A7" s="46" t="inlineStr">
        <is>
          <t>江俊傑</t>
        </is>
      </c>
      <c r="B7" s="42" t="inlineStr">
        <is>
          <t>11/8、11/22、11/29</t>
        </is>
      </c>
      <c r="C7" s="141" t="n"/>
      <c r="D7" s="141" t="n"/>
      <c r="E7" s="141" t="n"/>
      <c r="F7" s="141" t="n">
        <v>3</v>
      </c>
      <c r="G7" s="49" t="inlineStr">
        <is>
          <t>公</t>
        </is>
      </c>
      <c r="H7" s="50" t="n"/>
      <c r="I7" s="51" t="inlineStr">
        <is>
          <t>黃博盟</t>
        </is>
      </c>
    </row>
    <row r="8" ht="64.8" customHeight="1" s="181">
      <c r="A8" s="46" t="inlineStr">
        <is>
          <t>江俊傑</t>
        </is>
      </c>
      <c r="B8" s="42" t="inlineStr">
        <is>
          <t>11/11、11/12、11/18、11/19、11/26</t>
        </is>
      </c>
      <c r="C8" s="141" t="n"/>
      <c r="D8" s="141" t="n"/>
      <c r="E8" s="141" t="n"/>
      <c r="F8" s="141" t="n">
        <v>5</v>
      </c>
      <c r="G8" s="49" t="inlineStr">
        <is>
          <t>公</t>
        </is>
      </c>
      <c r="H8" s="50" t="n"/>
      <c r="I8" s="51" t="inlineStr">
        <is>
          <t>李君珮</t>
        </is>
      </c>
    </row>
    <row r="9">
      <c r="A9" s="46" t="inlineStr">
        <is>
          <t>江俊傑</t>
        </is>
      </c>
      <c r="B9" s="42" t="inlineStr">
        <is>
          <t>11/15</t>
        </is>
      </c>
      <c r="C9" s="141" t="n"/>
      <c r="D9" s="141" t="n"/>
      <c r="E9" s="141" t="n"/>
      <c r="F9" s="141" t="n">
        <v>1</v>
      </c>
      <c r="G9" s="49" t="inlineStr">
        <is>
          <t>公</t>
        </is>
      </c>
      <c r="H9" s="50" t="n"/>
      <c r="I9" s="51" t="inlineStr">
        <is>
          <t>孫寧穗</t>
        </is>
      </c>
    </row>
    <row r="10">
      <c r="A10" s="46" t="inlineStr">
        <is>
          <t>江俊傑</t>
        </is>
      </c>
      <c r="B10" s="47" t="inlineStr">
        <is>
          <t>11/13、11/20</t>
        </is>
      </c>
      <c r="C10" s="141" t="n"/>
      <c r="D10" s="141" t="n"/>
      <c r="E10" s="141" t="n"/>
      <c r="F10" s="141" t="n">
        <v>4</v>
      </c>
      <c r="G10" s="49" t="inlineStr">
        <is>
          <t>公</t>
        </is>
      </c>
      <c r="H10" s="50" t="n"/>
      <c r="I10" s="30" t="inlineStr">
        <is>
          <t>紀乃綺</t>
        </is>
      </c>
    </row>
    <row r="11" ht="27.6" customHeight="1" s="181">
      <c r="A11" s="46" t="inlineStr">
        <is>
          <t>林慧芸</t>
        </is>
      </c>
      <c r="B11" s="47" t="inlineStr">
        <is>
          <t>11/26</t>
        </is>
      </c>
      <c r="C11" s="141" t="inlineStr">
        <is>
          <t>二</t>
        </is>
      </c>
      <c r="D11" s="141" t="n"/>
      <c r="E11" s="141" t="n"/>
      <c r="F11" s="141" t="n">
        <v>5</v>
      </c>
      <c r="G11" s="49" t="inlineStr">
        <is>
          <t>公</t>
        </is>
      </c>
      <c r="H11" s="50" t="inlineStr">
        <is>
          <t>中正教院1080010664</t>
        </is>
      </c>
      <c r="I11" s="30" t="inlineStr">
        <is>
          <t>陳姸諠</t>
        </is>
      </c>
    </row>
    <row r="12" ht="27.6" customHeight="1" s="181">
      <c r="A12" s="46" t="inlineStr">
        <is>
          <t>林沁瑤</t>
        </is>
      </c>
      <c r="B12" s="47" t="inlineStr">
        <is>
          <t>11/27</t>
        </is>
      </c>
      <c r="C12" s="141" t="inlineStr">
        <is>
          <t>三</t>
        </is>
      </c>
      <c r="D12" s="141" t="inlineStr">
        <is>
          <t>1日</t>
        </is>
      </c>
      <c r="E12" s="141" t="n"/>
      <c r="F12" s="141" t="n"/>
      <c r="G12" s="49" t="inlineStr">
        <is>
          <t>公</t>
        </is>
      </c>
      <c r="H12" s="50" t="inlineStr">
        <is>
          <t>中正教終1080095690</t>
        </is>
      </c>
      <c r="I12" s="30" t="inlineStr">
        <is>
          <t>黃加淳</t>
        </is>
      </c>
    </row>
    <row r="13" ht="16.8" customHeight="1" s="181" thickBot="1">
      <c r="A13" s="9" t="inlineStr">
        <is>
          <t>合計</t>
        </is>
      </c>
      <c r="B13" s="185" t="n"/>
      <c r="C13" s="11" t="n"/>
      <c r="D13" s="12" t="n"/>
      <c r="E13" s="12" t="n"/>
      <c r="F13" s="12">
        <f>SUM(F3:F12)</f>
        <v/>
      </c>
      <c r="G13" s="12" t="n"/>
      <c r="H13" s="13" t="n"/>
      <c r="I13" s="14" t="n"/>
    </row>
    <row r="14">
      <c r="A14" s="15" t="n"/>
      <c r="B14" s="164" t="n"/>
      <c r="C14" s="15" t="n"/>
      <c r="D14" s="15" t="n"/>
      <c r="E14" s="15" t="n"/>
      <c r="F14" s="15" t="n"/>
      <c r="G14" s="15" t="n"/>
      <c r="H14" s="17" t="n"/>
      <c r="I14" s="15" t="n"/>
    </row>
    <row r="15" ht="32.4" customHeight="1" s="181">
      <c r="A15" s="17" t="inlineStr">
        <is>
          <t>教務組長</t>
        </is>
      </c>
      <c r="B15" s="21" t="n"/>
      <c r="C15" s="19" t="n"/>
      <c r="D15" s="19" t="inlineStr">
        <is>
          <t>教務主任</t>
        </is>
      </c>
      <c r="E15" s="19" t="n"/>
      <c r="F15" s="15" t="n"/>
      <c r="G15" s="20" t="inlineStr">
        <is>
          <t>校長</t>
        </is>
      </c>
      <c r="H15" s="21" t="n"/>
      <c r="I15" s="15" t="n"/>
    </row>
    <row r="19">
      <c r="A19" s="186" t="inlineStr">
        <is>
          <t>馬鳴國小代課費領款計算表
(108/11/01至108/11/30)</t>
        </is>
      </c>
    </row>
    <row r="20" ht="44.25" customHeight="1" s="181">
      <c r="A20" s="187" t="n"/>
      <c r="B20" s="187" t="n"/>
      <c r="C20" s="187" t="n"/>
      <c r="D20" s="187" t="n"/>
      <c r="E20" s="187" t="n"/>
      <c r="F20" s="187" t="n"/>
      <c r="G20" s="187" t="n"/>
      <c r="H20" s="147" t="n"/>
      <c r="I20" s="147" t="n"/>
    </row>
    <row r="21">
      <c r="A21" s="141" t="inlineStr">
        <is>
          <t>代課教師</t>
        </is>
      </c>
      <c r="B21" s="141" t="inlineStr">
        <is>
          <t>公假</t>
        </is>
      </c>
      <c r="C21" s="141" t="inlineStr">
        <is>
          <t>合計全日</t>
        </is>
      </c>
      <c r="D21" s="141" t="inlineStr">
        <is>
          <t>合計鐘點</t>
        </is>
      </c>
      <c r="E21" s="141" t="inlineStr">
        <is>
          <t>金額合計</t>
        </is>
      </c>
      <c r="F21" s="188" t="n"/>
      <c r="G21" s="141" t="inlineStr">
        <is>
          <t>備註</t>
        </is>
      </c>
    </row>
    <row r="22">
      <c r="A22" s="141" t="inlineStr">
        <is>
          <t>蔡志益</t>
        </is>
      </c>
      <c r="B22" s="141" t="inlineStr">
        <is>
          <t>公假</t>
        </is>
      </c>
      <c r="C22" s="141" t="n"/>
      <c r="D22" s="141" t="n">
        <v>10</v>
      </c>
      <c r="E22" s="141" t="n"/>
      <c r="F22" s="188" t="n"/>
      <c r="G22" s="141" t="n"/>
    </row>
    <row r="23">
      <c r="A23" s="141" t="inlineStr">
        <is>
          <t>李君珮</t>
        </is>
      </c>
      <c r="B23" s="141" t="inlineStr">
        <is>
          <t>公假</t>
        </is>
      </c>
      <c r="C23" s="141" t="n"/>
      <c r="D23" s="141" t="n">
        <v>5</v>
      </c>
      <c r="E23" s="141" t="n"/>
      <c r="F23" s="188" t="n"/>
      <c r="G23" s="25" t="n"/>
    </row>
    <row r="24">
      <c r="A24" s="141" t="inlineStr">
        <is>
          <t>陳姸諠</t>
        </is>
      </c>
      <c r="B24" s="141" t="inlineStr">
        <is>
          <t>公假</t>
        </is>
      </c>
      <c r="C24" s="141" t="n"/>
      <c r="D24" s="141" t="n">
        <v>5</v>
      </c>
      <c r="E24" s="141" t="n"/>
      <c r="F24" s="188" t="n"/>
      <c r="G24" s="25" t="n"/>
    </row>
    <row r="25">
      <c r="A25" s="141" t="inlineStr">
        <is>
          <t>紀乃綺</t>
        </is>
      </c>
      <c r="B25" s="141" t="inlineStr">
        <is>
          <t>公假</t>
        </is>
      </c>
      <c r="C25" s="141" t="n"/>
      <c r="D25" s="141" t="n">
        <v>4</v>
      </c>
      <c r="E25" s="141" t="n"/>
      <c r="F25" s="188" t="n"/>
      <c r="G25" s="25" t="n"/>
    </row>
    <row r="26">
      <c r="A26" s="141" t="inlineStr">
        <is>
          <t>黃博盟</t>
        </is>
      </c>
      <c r="B26" s="141" t="inlineStr">
        <is>
          <t>公假</t>
        </is>
      </c>
      <c r="C26" s="141" t="n"/>
      <c r="D26" s="141" t="n">
        <v>3</v>
      </c>
      <c r="E26" s="141" t="n"/>
      <c r="F26" s="188" t="n"/>
      <c r="G26" s="25" t="n"/>
    </row>
    <row r="27">
      <c r="A27" s="141" t="inlineStr">
        <is>
          <t>楊婉瑄</t>
        </is>
      </c>
      <c r="B27" s="141" t="inlineStr">
        <is>
          <t>公假</t>
        </is>
      </c>
      <c r="C27" s="141" t="n"/>
      <c r="D27" s="141" t="n">
        <v>2</v>
      </c>
      <c r="E27" s="141" t="n"/>
      <c r="F27" s="188" t="n"/>
      <c r="G27" s="25" t="n"/>
    </row>
    <row r="28">
      <c r="A28" s="141" t="inlineStr">
        <is>
          <t>孫寧穗</t>
        </is>
      </c>
      <c r="B28" s="141" t="inlineStr">
        <is>
          <t>公假</t>
        </is>
      </c>
      <c r="C28" s="141" t="n"/>
      <c r="D28" s="141" t="n">
        <v>1</v>
      </c>
      <c r="E28" s="141" t="n"/>
      <c r="F28" s="188" t="n"/>
      <c r="G28" s="25" t="n"/>
    </row>
    <row r="29">
      <c r="A29" s="141" t="inlineStr">
        <is>
          <t>黃敬芸</t>
        </is>
      </c>
      <c r="B29" s="141" t="inlineStr">
        <is>
          <t>公假</t>
        </is>
      </c>
      <c r="C29" s="141" t="n"/>
      <c r="D29" s="141" t="n">
        <v>1</v>
      </c>
      <c r="E29" s="141" t="n"/>
      <c r="F29" s="188" t="n"/>
      <c r="G29" s="25" t="n"/>
    </row>
    <row r="30">
      <c r="A30" s="141" t="inlineStr">
        <is>
          <t>李瑜華</t>
        </is>
      </c>
      <c r="B30" s="141" t="inlineStr">
        <is>
          <t>公假</t>
        </is>
      </c>
      <c r="C30" s="141" t="n"/>
      <c r="D30" s="141" t="n">
        <v>1</v>
      </c>
      <c r="E30" s="141" t="n"/>
      <c r="F30" s="188" t="n"/>
      <c r="G30" s="25" t="n"/>
    </row>
    <row r="31">
      <c r="A31" s="141" t="inlineStr">
        <is>
          <t>黃加淳</t>
        </is>
      </c>
      <c r="B31" s="141" t="inlineStr">
        <is>
          <t>公假</t>
        </is>
      </c>
      <c r="C31" s="141" t="inlineStr">
        <is>
          <t>1日</t>
        </is>
      </c>
      <c r="D31" s="141" t="n"/>
      <c r="E31" s="141" t="n"/>
      <c r="F31" s="188" t="n"/>
      <c r="G31" s="25" t="n"/>
    </row>
    <row r="32">
      <c r="A32" s="15" t="n"/>
      <c r="B32" s="27" t="n"/>
      <c r="C32" s="27" t="n"/>
      <c r="D32" s="27">
        <f>SUM(D22:D31)</f>
        <v/>
      </c>
      <c r="E32" s="27" t="n"/>
      <c r="F32" s="27" t="n"/>
      <c r="G32" s="15" t="n"/>
    </row>
    <row r="33" ht="32.4" customHeight="1" s="181">
      <c r="A33" s="17" t="inlineStr">
        <is>
          <t>教務組長</t>
        </is>
      </c>
      <c r="B33" s="21" t="n"/>
      <c r="C33" s="15" t="n"/>
      <c r="D33" s="20" t="inlineStr">
        <is>
          <t>教務主任</t>
        </is>
      </c>
      <c r="E33" s="28" t="n"/>
      <c r="F33" s="15" t="n"/>
      <c r="G33" s="20" t="inlineStr">
        <is>
          <t>校長</t>
        </is>
      </c>
    </row>
  </sheetData>
  <mergeCells count="13">
    <mergeCell ref="E30:F30"/>
    <mergeCell ref="E29:F29"/>
    <mergeCell ref="E24:F24"/>
    <mergeCell ref="E25:F25"/>
    <mergeCell ref="A1:I1"/>
    <mergeCell ref="E27:F27"/>
    <mergeCell ref="E23:F23"/>
    <mergeCell ref="E28:F28"/>
    <mergeCell ref="E22:F22"/>
    <mergeCell ref="E26:F26"/>
    <mergeCell ref="E31:F31"/>
    <mergeCell ref="A19:G20"/>
    <mergeCell ref="E21:F21"/>
  </mergeCells>
  <pageMargins left="0.7" right="0.7" top="0.75" bottom="0.75" header="0.3" footer="0.3"/>
  <pageSetup orientation="portrait" paperSize="9" scale="95"/>
</worksheet>
</file>

<file path=xl/worksheets/sheet7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I31"/>
  <sheetViews>
    <sheetView zoomScale="90" zoomScaleNormal="90" workbookViewId="0">
      <selection activeCell="A1" sqref="A1:I19"/>
    </sheetView>
  </sheetViews>
  <sheetFormatPr baseColWidth="8" defaultRowHeight="16.2"/>
  <cols>
    <col width="12.109375" customWidth="1" style="181" min="8" max="8"/>
  </cols>
  <sheetData>
    <row r="1" ht="28.8" customHeight="1" s="181" thickBot="1">
      <c r="A1" s="147" t="inlineStr">
        <is>
          <t>代課一覽表(108/12/01至108/12/31)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27.6" customHeight="1" s="181">
      <c r="A3" s="46" t="inlineStr">
        <is>
          <t>楊燕青</t>
        </is>
      </c>
      <c r="B3" s="47" t="inlineStr">
        <is>
          <t>12/2</t>
        </is>
      </c>
      <c r="C3" s="141" t="inlineStr">
        <is>
          <t>一</t>
        </is>
      </c>
      <c r="D3" s="141" t="n"/>
      <c r="E3" s="47" t="n"/>
      <c r="F3" s="141" t="n">
        <v>4</v>
      </c>
      <c r="G3" s="49" t="inlineStr">
        <is>
          <t>公</t>
        </is>
      </c>
      <c r="H3" s="50" t="inlineStr">
        <is>
          <t>府授財務1080268760</t>
        </is>
      </c>
      <c r="I3" s="51" t="inlineStr">
        <is>
          <t>李君珮</t>
        </is>
      </c>
    </row>
    <row r="4">
      <c r="A4" s="46" t="inlineStr">
        <is>
          <t>魏瑋婷</t>
        </is>
      </c>
      <c r="B4" s="47" t="inlineStr">
        <is>
          <t>12/3</t>
        </is>
      </c>
      <c r="C4" s="141" t="inlineStr">
        <is>
          <t>二</t>
        </is>
      </c>
      <c r="D4" s="141" t="n"/>
      <c r="E4" s="47" t="n"/>
      <c r="F4" s="141" t="n">
        <v>3</v>
      </c>
      <c r="G4" s="49" t="inlineStr">
        <is>
          <t>產前假</t>
        </is>
      </c>
      <c r="H4" s="50" t="n"/>
      <c r="I4" s="51" t="inlineStr">
        <is>
          <t>李瑜華</t>
        </is>
      </c>
    </row>
    <row r="5" ht="55.2" customHeight="1" s="181">
      <c r="A5" s="46" t="inlineStr">
        <is>
          <t>王慈慧</t>
        </is>
      </c>
      <c r="B5" s="47" t="inlineStr">
        <is>
          <t>12/10</t>
        </is>
      </c>
      <c r="C5" s="141" t="inlineStr">
        <is>
          <t>二</t>
        </is>
      </c>
      <c r="D5" s="141" t="n"/>
      <c r="E5" s="47" t="n"/>
      <c r="F5" s="141" t="n">
        <v>2</v>
      </c>
      <c r="G5" s="49" t="inlineStr">
        <is>
          <t>公</t>
        </is>
      </c>
      <c r="H5" s="50" t="inlineStr">
        <is>
          <t>中市教課字第1080109361號</t>
        </is>
      </c>
      <c r="I5" s="51" t="inlineStr">
        <is>
          <t>黃博盟</t>
        </is>
      </c>
    </row>
    <row r="6">
      <c r="A6" s="46" t="inlineStr">
        <is>
          <t>魏瑋婷</t>
        </is>
      </c>
      <c r="B6" s="47" t="inlineStr">
        <is>
          <t>12/10</t>
        </is>
      </c>
      <c r="C6" s="141" t="inlineStr">
        <is>
          <t>二</t>
        </is>
      </c>
      <c r="D6" s="141" t="n"/>
      <c r="E6" s="47" t="n"/>
      <c r="F6" s="141" t="n">
        <v>3</v>
      </c>
      <c r="G6" s="49" t="inlineStr">
        <is>
          <t>產前假</t>
        </is>
      </c>
      <c r="H6" s="50" t="n"/>
      <c r="I6" s="51" t="inlineStr">
        <is>
          <t>李瑜華</t>
        </is>
      </c>
    </row>
    <row r="7">
      <c r="A7" s="46" t="inlineStr">
        <is>
          <t>魏瑋婷</t>
        </is>
      </c>
      <c r="B7" s="47" t="inlineStr">
        <is>
          <t>12/17</t>
        </is>
      </c>
      <c r="C7" s="141" t="inlineStr">
        <is>
          <t>二</t>
        </is>
      </c>
      <c r="D7" s="141" t="n"/>
      <c r="E7" s="47" t="n"/>
      <c r="F7" s="141" t="n">
        <v>3</v>
      </c>
      <c r="G7" s="49" t="inlineStr">
        <is>
          <t>產前假</t>
        </is>
      </c>
      <c r="H7" s="50" t="n"/>
      <c r="I7" s="51" t="inlineStr">
        <is>
          <t>鍾劭謙</t>
        </is>
      </c>
    </row>
    <row r="8" ht="55.2" customHeight="1" s="181">
      <c r="A8" s="46" t="inlineStr">
        <is>
          <t>楊燕青</t>
        </is>
      </c>
      <c r="B8" s="47" t="inlineStr">
        <is>
          <t>12/19</t>
        </is>
      </c>
      <c r="C8" s="141" t="inlineStr">
        <is>
          <t>四</t>
        </is>
      </c>
      <c r="D8" s="141" t="n"/>
      <c r="E8" s="47" t="n"/>
      <c r="F8" s="141" t="n">
        <v>4</v>
      </c>
      <c r="G8" s="49" t="inlineStr">
        <is>
          <t>公</t>
        </is>
      </c>
      <c r="H8" s="50" t="inlineStr">
        <is>
          <t xml:space="preserve">中區國稅沙鹿服務字第1080456442號 </t>
        </is>
      </c>
      <c r="I8" s="51" t="inlineStr">
        <is>
          <t>李瑜華</t>
        </is>
      </c>
    </row>
    <row r="9" ht="35.25" customHeight="1" s="181">
      <c r="A9" s="46" t="inlineStr">
        <is>
          <t>魏瑋婷</t>
        </is>
      </c>
      <c r="B9" s="47" t="inlineStr">
        <is>
          <t>12/19</t>
        </is>
      </c>
      <c r="C9" s="141" t="inlineStr">
        <is>
          <t>四</t>
        </is>
      </c>
      <c r="D9" s="141" t="inlineStr">
        <is>
          <t>0.5日</t>
        </is>
      </c>
      <c r="E9" s="47" t="n"/>
      <c r="F9" s="141" t="n"/>
      <c r="G9" s="49" t="inlineStr">
        <is>
          <t>公</t>
        </is>
      </c>
      <c r="H9" s="53" t="inlineStr">
        <is>
          <t>中市教課字第10801141991號</t>
        </is>
      </c>
      <c r="I9" s="51" t="inlineStr">
        <is>
          <t>黃加淳</t>
        </is>
      </c>
    </row>
    <row r="10" ht="35.25" customHeight="1" s="181">
      <c r="A10" s="46" t="inlineStr">
        <is>
          <t>黃敬芸</t>
        </is>
      </c>
      <c r="B10" s="47" t="inlineStr">
        <is>
          <t>12/20</t>
        </is>
      </c>
      <c r="C10" s="141" t="inlineStr">
        <is>
          <t>五</t>
        </is>
      </c>
      <c r="D10" s="141" t="inlineStr">
        <is>
          <t>1日</t>
        </is>
      </c>
      <c r="E10" s="47" t="n"/>
      <c r="F10" s="141" t="n"/>
      <c r="G10" s="49" t="inlineStr">
        <is>
          <t>公</t>
        </is>
      </c>
      <c r="H10" s="53" t="inlineStr">
        <is>
          <t>中市特教字第1080115273號</t>
        </is>
      </c>
      <c r="I10" s="51" t="inlineStr">
        <is>
          <t>李君珮</t>
        </is>
      </c>
    </row>
    <row r="11" ht="31.5" customHeight="1" s="181">
      <c r="A11" s="46" t="inlineStr">
        <is>
          <t>魏瑋婷</t>
        </is>
      </c>
      <c r="B11" s="47" t="inlineStr">
        <is>
          <t>12/24</t>
        </is>
      </c>
      <c r="C11" s="141" t="inlineStr">
        <is>
          <t>二</t>
        </is>
      </c>
      <c r="D11" s="141" t="inlineStr">
        <is>
          <t>1日</t>
        </is>
      </c>
      <c r="E11" s="47" t="n"/>
      <c r="F11" s="141" t="n"/>
      <c r="G11" s="49" t="inlineStr">
        <is>
          <t>產前假</t>
        </is>
      </c>
      <c r="H11" s="50" t="n"/>
      <c r="I11" s="30" t="inlineStr">
        <is>
          <t>鍾劭謙</t>
        </is>
      </c>
    </row>
    <row r="12">
      <c r="A12" s="31" t="inlineStr">
        <is>
          <t>王琬菁</t>
        </is>
      </c>
      <c r="B12" s="7" t="inlineStr">
        <is>
          <t>12/25</t>
        </is>
      </c>
      <c r="C12" s="49" t="inlineStr">
        <is>
          <t>三</t>
        </is>
      </c>
      <c r="D12" s="49" t="inlineStr">
        <is>
          <t>1日</t>
        </is>
      </c>
      <c r="E12" s="7" t="n"/>
      <c r="F12" s="49" t="n"/>
      <c r="G12" s="49" t="inlineStr">
        <is>
          <t>喪假</t>
        </is>
      </c>
      <c r="H12" s="143" t="n"/>
      <c r="I12" s="52" t="inlineStr">
        <is>
          <t>柯亭卉</t>
        </is>
      </c>
    </row>
    <row r="13" ht="31.5" customHeight="1" s="181">
      <c r="A13" s="46" t="inlineStr">
        <is>
          <t>魏瑋婷</t>
        </is>
      </c>
      <c r="B13" s="47" t="inlineStr">
        <is>
          <t>12/27</t>
        </is>
      </c>
      <c r="C13" s="141" t="inlineStr">
        <is>
          <t>五</t>
        </is>
      </c>
      <c r="D13" s="141" t="inlineStr">
        <is>
          <t>1日</t>
        </is>
      </c>
      <c r="E13" s="47" t="n"/>
      <c r="F13" s="141" t="n"/>
      <c r="G13" s="49" t="inlineStr">
        <is>
          <t>公</t>
        </is>
      </c>
      <c r="H13" s="53" t="inlineStr">
        <is>
          <t>中市教課字第10801141991號</t>
        </is>
      </c>
      <c r="I13" s="30" t="inlineStr">
        <is>
          <t>柯亭卉</t>
        </is>
      </c>
    </row>
    <row r="14">
      <c r="A14" s="46" t="inlineStr">
        <is>
          <t>魏瑋婷</t>
        </is>
      </c>
      <c r="B14" s="47" t="inlineStr">
        <is>
          <t>12/31</t>
        </is>
      </c>
      <c r="C14" s="141" t="inlineStr">
        <is>
          <t>二</t>
        </is>
      </c>
      <c r="D14" s="141" t="n"/>
      <c r="E14" s="47" t="n"/>
      <c r="F14" s="141" t="n">
        <v>3</v>
      </c>
      <c r="G14" s="49" t="inlineStr">
        <is>
          <t>產前假</t>
        </is>
      </c>
      <c r="H14" s="50" t="n"/>
      <c r="I14" s="30" t="inlineStr">
        <is>
          <t>李瑜華</t>
        </is>
      </c>
    </row>
    <row r="15" ht="16.8" customHeight="1" s="181" thickBot="1">
      <c r="A15" s="9" t="inlineStr">
        <is>
          <t>合計</t>
        </is>
      </c>
      <c r="B15" s="185" t="n"/>
      <c r="C15" s="11" t="n"/>
      <c r="D15" s="12" t="inlineStr">
        <is>
          <t>4.5日</t>
        </is>
      </c>
      <c r="E15" s="12" t="n"/>
      <c r="F15" s="12">
        <f>SUM(F3:F14)</f>
        <v/>
      </c>
      <c r="G15" s="12" t="n"/>
      <c r="H15" s="13" t="n"/>
      <c r="I15" s="14" t="n"/>
    </row>
    <row r="16">
      <c r="A16" s="15" t="n"/>
      <c r="B16" s="164" t="n"/>
      <c r="C16" s="15" t="n"/>
      <c r="D16" s="15" t="n"/>
      <c r="E16" s="15" t="n"/>
      <c r="F16" s="15" t="n"/>
      <c r="G16" s="15" t="n"/>
      <c r="H16" s="17" t="n"/>
      <c r="I16" s="15" t="n"/>
    </row>
    <row r="17" ht="32.4" customHeight="1" s="181">
      <c r="A17" s="17" t="inlineStr">
        <is>
          <t>教務組長</t>
        </is>
      </c>
      <c r="B17" s="21" t="n"/>
      <c r="C17" s="19" t="n"/>
      <c r="D17" s="19" t="inlineStr">
        <is>
          <t>教務主任</t>
        </is>
      </c>
      <c r="E17" s="19" t="n"/>
      <c r="F17" s="15" t="n"/>
      <c r="G17" s="20" t="inlineStr">
        <is>
          <t>校長</t>
        </is>
      </c>
      <c r="H17" s="21" t="n"/>
      <c r="I17" s="15" t="n"/>
    </row>
    <row r="21" ht="26.25" customHeight="1" s="181">
      <c r="A21" s="186" t="inlineStr">
        <is>
          <t>馬鳴國小代課費領款計算表
(108/12/01至108/12/31)</t>
        </is>
      </c>
    </row>
    <row r="22" ht="30" customHeight="1" s="181">
      <c r="A22" s="187" t="n"/>
      <c r="B22" s="187" t="n"/>
      <c r="C22" s="187" t="n"/>
      <c r="D22" s="187" t="n"/>
      <c r="E22" s="187" t="n"/>
      <c r="F22" s="187" t="n"/>
      <c r="G22" s="187" t="n"/>
      <c r="H22" s="147" t="n"/>
      <c r="I22" s="147" t="n"/>
    </row>
    <row r="23" ht="20.1" customHeight="1" s="181">
      <c r="A23" s="141" t="inlineStr">
        <is>
          <t xml:space="preserve"> </t>
        </is>
      </c>
      <c r="B23" s="141" t="inlineStr">
        <is>
          <t>公假</t>
        </is>
      </c>
      <c r="C23" s="141" t="inlineStr">
        <is>
          <t>合計全日</t>
        </is>
      </c>
      <c r="D23" s="141" t="inlineStr">
        <is>
          <t>合計鐘點</t>
        </is>
      </c>
      <c r="E23" s="141" t="inlineStr">
        <is>
          <t>金額合計</t>
        </is>
      </c>
      <c r="F23" s="188" t="n"/>
      <c r="G23" s="141" t="inlineStr">
        <is>
          <t>備註</t>
        </is>
      </c>
    </row>
    <row r="24" ht="20.1" customHeight="1" s="181">
      <c r="A24" s="141" t="inlineStr">
        <is>
          <t>李瑜華</t>
        </is>
      </c>
      <c r="B24" s="141" t="n"/>
      <c r="C24" s="141" t="n"/>
      <c r="D24" s="141" t="n">
        <v>13</v>
      </c>
      <c r="E24" s="141" t="n"/>
      <c r="F24" s="188" t="n"/>
      <c r="G24" s="141" t="n"/>
    </row>
    <row r="25" ht="20.1" customHeight="1" s="181">
      <c r="A25" s="141" t="inlineStr">
        <is>
          <t>黃博盟</t>
        </is>
      </c>
      <c r="B25" s="141" t="n"/>
      <c r="C25" s="141" t="n"/>
      <c r="D25" s="141" t="n">
        <v>2</v>
      </c>
      <c r="E25" s="141" t="n"/>
      <c r="F25" s="188" t="n"/>
      <c r="G25" s="141" t="n"/>
    </row>
    <row r="26" ht="20.1" customHeight="1" s="181">
      <c r="A26" s="141" t="inlineStr">
        <is>
          <t>李君珮</t>
        </is>
      </c>
      <c r="B26" s="141" t="n"/>
      <c r="C26" s="141" t="n">
        <v>1</v>
      </c>
      <c r="D26" s="141" t="n">
        <v>4</v>
      </c>
      <c r="E26" s="141" t="n"/>
      <c r="F26" s="188" t="n"/>
      <c r="G26" s="25" t="n"/>
    </row>
    <row r="27" ht="20.1" customHeight="1" s="181">
      <c r="A27" s="141" t="inlineStr">
        <is>
          <t>黃加淳</t>
        </is>
      </c>
      <c r="B27" s="141" t="n"/>
      <c r="C27" s="141" t="n">
        <v>0.5</v>
      </c>
      <c r="D27" s="141" t="n"/>
      <c r="E27" s="141" t="n">
        <v>1280</v>
      </c>
      <c r="F27" s="188" t="n"/>
      <c r="G27" s="141" t="n"/>
    </row>
    <row r="28" ht="20.1" customHeight="1" s="181">
      <c r="A28" s="141" t="inlineStr">
        <is>
          <t>鍾劭謙</t>
        </is>
      </c>
      <c r="B28" s="141" t="n"/>
      <c r="C28" s="141" t="n">
        <v>1</v>
      </c>
      <c r="D28" s="141" t="n">
        <v>3</v>
      </c>
      <c r="E28" s="141" t="n"/>
      <c r="F28" s="188" t="n"/>
      <c r="G28" s="25" t="n"/>
    </row>
    <row r="29" ht="20.1" customHeight="1" s="181">
      <c r="A29" s="141" t="inlineStr">
        <is>
          <t>柯亭卉</t>
        </is>
      </c>
      <c r="B29" s="141" t="n"/>
      <c r="C29" s="141" t="n">
        <v>2</v>
      </c>
      <c r="D29" s="141" t="n"/>
      <c r="E29" s="141" t="n"/>
      <c r="F29" s="188" t="n"/>
      <c r="G29" s="25" t="n"/>
    </row>
    <row r="30" ht="20.1" customHeight="1" s="181">
      <c r="A30" s="15" t="n"/>
      <c r="B30" s="27" t="n"/>
      <c r="C30" s="27" t="n"/>
      <c r="D30" s="27" t="n"/>
      <c r="E30" s="27" t="n"/>
      <c r="F30" s="27" t="n"/>
      <c r="G30" s="15" t="n"/>
    </row>
    <row r="31" ht="32.4" customHeight="1" s="181">
      <c r="A31" s="17" t="inlineStr">
        <is>
          <t>教務組長</t>
        </is>
      </c>
      <c r="B31" s="21" t="n"/>
      <c r="C31" s="15" t="n"/>
      <c r="D31" s="20" t="inlineStr">
        <is>
          <t>教務主任</t>
        </is>
      </c>
      <c r="E31" s="28" t="n"/>
      <c r="F31" s="15" t="n"/>
      <c r="G31" s="20" t="inlineStr">
        <is>
          <t>校長</t>
        </is>
      </c>
    </row>
  </sheetData>
  <mergeCells count="9">
    <mergeCell ref="A21:G22"/>
    <mergeCell ref="E29:F29"/>
    <mergeCell ref="E24:F24"/>
    <mergeCell ref="E25:F25"/>
    <mergeCell ref="A1:I1"/>
    <mergeCell ref="E28:F28"/>
    <mergeCell ref="E23:F23"/>
    <mergeCell ref="E27:F27"/>
    <mergeCell ref="E26:F26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I22"/>
  <sheetViews>
    <sheetView topLeftCell="A10" workbookViewId="0">
      <selection activeCell="A1" sqref="A1:I19"/>
    </sheetView>
  </sheetViews>
  <sheetFormatPr baseColWidth="8" defaultRowHeight="16.2"/>
  <cols>
    <col width="13" customWidth="1" style="181" min="8" max="8"/>
  </cols>
  <sheetData>
    <row r="1" ht="28.8" customHeight="1" s="181" thickBot="1">
      <c r="A1" s="147" t="inlineStr">
        <is>
          <t>代課一覽表(109/01/01至109/01/20)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25.2" customHeight="1" s="181">
      <c r="A3" s="46" t="inlineStr">
        <is>
          <t>黃敬芸</t>
        </is>
      </c>
      <c r="B3" s="47" t="inlineStr">
        <is>
          <t>12/20</t>
        </is>
      </c>
      <c r="C3" s="141" t="inlineStr">
        <is>
          <t>五</t>
        </is>
      </c>
      <c r="D3" s="141" t="inlineStr">
        <is>
          <t>1日</t>
        </is>
      </c>
      <c r="E3" s="47" t="n"/>
      <c r="F3" s="141" t="n"/>
      <c r="G3" s="49" t="inlineStr">
        <is>
          <t>公</t>
        </is>
      </c>
      <c r="H3" s="53" t="inlineStr">
        <is>
          <t>中市特教字第1080115273號</t>
        </is>
      </c>
      <c r="I3" s="51" t="inlineStr">
        <is>
          <t>李君珮</t>
        </is>
      </c>
    </row>
    <row r="4" ht="27.6" customHeight="1" s="181">
      <c r="A4" s="46" t="inlineStr">
        <is>
          <t>王慈慧</t>
        </is>
      </c>
      <c r="B4" s="47" t="inlineStr">
        <is>
          <t>1/3</t>
        </is>
      </c>
      <c r="C4" s="141" t="inlineStr">
        <is>
          <t>三</t>
        </is>
      </c>
      <c r="D4" s="141" t="n"/>
      <c r="E4" s="47" t="n"/>
      <c r="F4" s="141" t="n">
        <v>1</v>
      </c>
      <c r="G4" s="49" t="inlineStr">
        <is>
          <t>公</t>
        </is>
      </c>
      <c r="H4" s="50" t="inlineStr">
        <is>
          <t>中市教學1080120173號</t>
        </is>
      </c>
      <c r="I4" s="51" t="inlineStr">
        <is>
          <t>黃博盟</t>
        </is>
      </c>
    </row>
    <row r="5" ht="41.4" customHeight="1" s="181">
      <c r="A5" s="46" t="inlineStr">
        <is>
          <t>魏瑋婷</t>
        </is>
      </c>
      <c r="B5" s="47" t="inlineStr">
        <is>
          <t>1/6</t>
        </is>
      </c>
      <c r="C5" s="141" t="inlineStr">
        <is>
          <t>一</t>
        </is>
      </c>
      <c r="D5" s="141" t="inlineStr">
        <is>
          <t>1日</t>
        </is>
      </c>
      <c r="E5" s="47" t="n"/>
      <c r="F5" s="141" t="n"/>
      <c r="G5" s="49" t="inlineStr">
        <is>
          <t>公</t>
        </is>
      </c>
      <c r="H5" s="50" t="inlineStr">
        <is>
          <t>中市教課10801141991號</t>
        </is>
      </c>
      <c r="I5" s="51" t="inlineStr">
        <is>
          <t>黃加淳</t>
        </is>
      </c>
    </row>
    <row r="6">
      <c r="A6" s="46" t="inlineStr">
        <is>
          <t>魏瑋婷</t>
        </is>
      </c>
      <c r="B6" s="47" t="inlineStr">
        <is>
          <t>1/7</t>
        </is>
      </c>
      <c r="C6" s="141" t="inlineStr">
        <is>
          <t>二</t>
        </is>
      </c>
      <c r="D6" s="141" t="n"/>
      <c r="E6" s="47" t="n"/>
      <c r="F6" s="141" t="n">
        <v>3</v>
      </c>
      <c r="G6" s="49" t="inlineStr">
        <is>
          <t>產前假</t>
        </is>
      </c>
      <c r="H6" s="50" t="n"/>
      <c r="I6" s="51" t="inlineStr">
        <is>
          <t>李瑜華</t>
        </is>
      </c>
    </row>
    <row r="7">
      <c r="A7" s="46" t="inlineStr">
        <is>
          <t>魏瑋婷</t>
        </is>
      </c>
      <c r="B7" s="47" t="inlineStr">
        <is>
          <t>1/17</t>
        </is>
      </c>
      <c r="C7" s="141" t="inlineStr">
        <is>
          <t>五</t>
        </is>
      </c>
      <c r="D7" s="141" t="inlineStr">
        <is>
          <t>1日</t>
        </is>
      </c>
      <c r="E7" s="47" t="n"/>
      <c r="F7" s="141" t="n"/>
      <c r="G7" s="49" t="inlineStr">
        <is>
          <t>產前假</t>
        </is>
      </c>
      <c r="H7" s="50" t="n"/>
      <c r="I7" s="30" t="inlineStr">
        <is>
          <t>黃加淳</t>
        </is>
      </c>
    </row>
    <row r="8" ht="16.8" customHeight="1" s="181" thickBot="1">
      <c r="A8" s="9" t="inlineStr">
        <is>
          <t>合計</t>
        </is>
      </c>
      <c r="B8" s="185" t="n"/>
      <c r="C8" s="11" t="n"/>
      <c r="D8" s="12" t="inlineStr">
        <is>
          <t>3日</t>
        </is>
      </c>
      <c r="E8" s="12" t="n"/>
      <c r="F8" s="12">
        <f>SUM(F3:F7)</f>
        <v/>
      </c>
      <c r="G8" s="12" t="n"/>
      <c r="H8" s="13" t="n"/>
      <c r="I8" s="14" t="n"/>
    </row>
    <row r="9">
      <c r="A9" s="15" t="n"/>
      <c r="B9" s="164" t="n"/>
      <c r="C9" s="15" t="n"/>
      <c r="D9" s="15" t="n"/>
      <c r="E9" s="15" t="n"/>
      <c r="F9" s="15" t="n"/>
      <c r="G9" s="15" t="n"/>
      <c r="H9" s="17" t="n"/>
      <c r="I9" s="15" t="n"/>
    </row>
    <row r="10" ht="32.4" customHeight="1" s="181">
      <c r="A10" s="17" t="inlineStr">
        <is>
          <t>教務組長</t>
        </is>
      </c>
      <c r="B10" s="21" t="n"/>
      <c r="C10" s="19" t="n"/>
      <c r="D10" s="19" t="inlineStr">
        <is>
          <t>教務主任</t>
        </is>
      </c>
      <c r="E10" s="19" t="n"/>
      <c r="F10" s="15" t="n"/>
      <c r="G10" s="20" t="inlineStr">
        <is>
          <t>校長</t>
        </is>
      </c>
      <c r="H10" s="21" t="n"/>
      <c r="I10" s="15" t="n"/>
    </row>
    <row r="14" ht="26.25" customHeight="1" s="181">
      <c r="A14" s="186" t="inlineStr">
        <is>
          <t>馬鳴國小代課費領款計算表
(109/01/01至109/01/20)</t>
        </is>
      </c>
    </row>
    <row r="15" ht="27.75" customHeight="1" s="181">
      <c r="A15" s="187" t="n"/>
      <c r="B15" s="187" t="n"/>
      <c r="C15" s="187" t="n"/>
      <c r="D15" s="187" t="n"/>
      <c r="E15" s="187" t="n"/>
      <c r="F15" s="187" t="n"/>
      <c r="G15" s="187" t="n"/>
      <c r="H15" s="147" t="n"/>
      <c r="I15" s="147" t="n"/>
    </row>
    <row r="16">
      <c r="A16" s="141" t="inlineStr">
        <is>
          <t>代課教師</t>
        </is>
      </c>
      <c r="B16" s="141" t="inlineStr">
        <is>
          <t>公假</t>
        </is>
      </c>
      <c r="C16" s="141" t="inlineStr">
        <is>
          <t>合計全日</t>
        </is>
      </c>
      <c r="D16" s="141" t="inlineStr">
        <is>
          <t>合計鐘點</t>
        </is>
      </c>
      <c r="E16" s="141" t="inlineStr">
        <is>
          <t>金額合計</t>
        </is>
      </c>
      <c r="F16" s="188" t="n"/>
      <c r="G16" s="141" t="inlineStr">
        <is>
          <t>備註</t>
        </is>
      </c>
    </row>
    <row r="17">
      <c r="A17" s="141" t="inlineStr">
        <is>
          <t>黃加淳</t>
        </is>
      </c>
      <c r="B17" s="141" t="n">
        <v>2</v>
      </c>
      <c r="C17" s="141" t="n">
        <v>2</v>
      </c>
      <c r="D17" s="141" t="n"/>
      <c r="E17" s="141" t="n"/>
      <c r="F17" s="188" t="n"/>
      <c r="G17" s="141" t="n"/>
    </row>
    <row r="18">
      <c r="A18" s="141" t="inlineStr">
        <is>
          <t>李君珮</t>
        </is>
      </c>
      <c r="B18" s="141" t="n">
        <v>1</v>
      </c>
      <c r="C18" s="141" t="n">
        <v>1</v>
      </c>
      <c r="D18" s="141" t="n"/>
      <c r="E18" s="141" t="n"/>
      <c r="F18" s="188" t="n"/>
      <c r="G18" s="25" t="n"/>
    </row>
    <row r="19">
      <c r="A19" s="141" t="inlineStr">
        <is>
          <t>黃博盟</t>
        </is>
      </c>
      <c r="B19" s="141" t="n"/>
      <c r="C19" s="141" t="n"/>
      <c r="D19" s="141" t="n">
        <v>1</v>
      </c>
      <c r="E19" s="141" t="n"/>
      <c r="F19" s="188" t="n"/>
      <c r="G19" s="25" t="n"/>
    </row>
    <row r="20">
      <c r="A20" s="141" t="inlineStr">
        <is>
          <t>李瑜華</t>
        </is>
      </c>
      <c r="B20" s="141" t="n"/>
      <c r="C20" s="141" t="n"/>
      <c r="D20" s="141" t="n">
        <v>3</v>
      </c>
      <c r="E20" s="141" t="n"/>
      <c r="F20" s="188" t="n"/>
      <c r="G20" s="25" t="n"/>
    </row>
    <row r="21">
      <c r="A21" s="15" t="n"/>
      <c r="B21" s="27" t="n"/>
      <c r="C21" s="27" t="n"/>
      <c r="D21" s="27" t="n"/>
      <c r="E21" s="27" t="n"/>
      <c r="F21" s="27" t="n"/>
      <c r="G21" s="15" t="n"/>
    </row>
    <row r="22" ht="32.4" customHeight="1" s="181">
      <c r="A22" s="17" t="inlineStr">
        <is>
          <t>教務組長</t>
        </is>
      </c>
      <c r="B22" s="21" t="n"/>
      <c r="C22" s="15" t="n"/>
      <c r="D22" s="20" t="inlineStr">
        <is>
          <t>教務主任</t>
        </is>
      </c>
      <c r="E22" s="28" t="n"/>
      <c r="F22" s="15" t="n"/>
      <c r="G22" s="20" t="inlineStr">
        <is>
          <t>校長</t>
        </is>
      </c>
    </row>
  </sheetData>
  <mergeCells count="7">
    <mergeCell ref="E20:F20"/>
    <mergeCell ref="A14:G15"/>
    <mergeCell ref="E16:F16"/>
    <mergeCell ref="E19:F19"/>
    <mergeCell ref="A1:I1"/>
    <mergeCell ref="E17:F17"/>
    <mergeCell ref="E18:F18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tabColor theme="7" tint="0.3999755851924192"/>
    <outlinePr summaryBelow="1" summaryRight="1"/>
    <pageSetUpPr fitToPage="1"/>
  </sheetPr>
  <dimension ref="A1:I18"/>
  <sheetViews>
    <sheetView workbookViewId="0">
      <selection activeCell="A1" sqref="A1:I19"/>
    </sheetView>
  </sheetViews>
  <sheetFormatPr baseColWidth="8" defaultRowHeight="16.2"/>
  <cols>
    <col width="9" customWidth="1" style="181" min="7" max="7"/>
    <col width="11.33203125" customWidth="1" style="181" min="8" max="8"/>
  </cols>
  <sheetData>
    <row r="1" ht="28.8" customHeight="1" s="181" thickBot="1">
      <c r="A1" s="147" t="inlineStr">
        <is>
          <t>代課一覽表(109/04/01至109/04/30)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25.2" customHeight="1" s="181">
      <c r="A3" s="46" t="inlineStr">
        <is>
          <t>林珈羽</t>
        </is>
      </c>
      <c r="B3" s="47" t="inlineStr">
        <is>
          <t>4/15</t>
        </is>
      </c>
      <c r="C3" s="141" t="inlineStr">
        <is>
          <t>三</t>
        </is>
      </c>
      <c r="D3" s="141" t="n"/>
      <c r="E3" s="47" t="n"/>
      <c r="F3" s="141" t="n">
        <v>2</v>
      </c>
      <c r="G3" s="49" t="inlineStr">
        <is>
          <t>公</t>
        </is>
      </c>
      <c r="H3" s="53" t="inlineStr">
        <is>
          <t>中市教幼字第1090027136號</t>
        </is>
      </c>
      <c r="I3" s="51" t="inlineStr">
        <is>
          <t>楊燕青</t>
        </is>
      </c>
    </row>
    <row r="4" ht="16.8" customHeight="1" s="181" thickBot="1">
      <c r="A4" s="9" t="inlineStr">
        <is>
          <t>合計</t>
        </is>
      </c>
      <c r="B4" s="185" t="n"/>
      <c r="C4" s="11" t="n"/>
      <c r="D4" s="12" t="n"/>
      <c r="E4" s="12" t="n"/>
      <c r="F4" s="12">
        <f>SUM(F3:F3)</f>
        <v/>
      </c>
      <c r="G4" s="12" t="n"/>
      <c r="H4" s="13" t="n"/>
      <c r="I4" s="14" t="n"/>
    </row>
    <row r="5">
      <c r="A5" s="15" t="n"/>
      <c r="B5" s="164" t="n"/>
      <c r="C5" s="15" t="n"/>
      <c r="D5" s="15" t="n"/>
      <c r="E5" s="15" t="n"/>
      <c r="F5" s="15" t="n"/>
      <c r="G5" s="15" t="n"/>
      <c r="H5" s="17" t="n"/>
      <c r="I5" s="15" t="n"/>
    </row>
    <row r="6" ht="32.4" customHeight="1" s="181">
      <c r="A6" s="17" t="inlineStr">
        <is>
          <t>教務組長</t>
        </is>
      </c>
      <c r="B6" s="21" t="n"/>
      <c r="C6" s="19" t="n"/>
      <c r="D6" s="19" t="inlineStr">
        <is>
          <t>教務主任</t>
        </is>
      </c>
      <c r="E6" s="19" t="n"/>
      <c r="F6" s="15" t="n"/>
      <c r="G6" s="20" t="inlineStr">
        <is>
          <t>校長</t>
        </is>
      </c>
      <c r="H6" s="21" t="n"/>
      <c r="I6" s="15" t="n"/>
    </row>
    <row r="10" ht="24.75" customHeight="1" s="181">
      <c r="A10" s="186" t="inlineStr">
        <is>
          <t>馬鳴國小代課費領款計算表
(109/04/01至109/04/30)</t>
        </is>
      </c>
    </row>
    <row r="11" ht="28.2" customHeight="1" s="181">
      <c r="A11" s="187" t="n"/>
      <c r="B11" s="187" t="n"/>
      <c r="C11" s="187" t="n"/>
      <c r="D11" s="187" t="n"/>
      <c r="E11" s="187" t="n"/>
      <c r="F11" s="187" t="n"/>
      <c r="G11" s="187" t="n"/>
      <c r="H11" s="147" t="n"/>
      <c r="I11" s="147" t="n"/>
    </row>
    <row r="12">
      <c r="A12" s="141" t="inlineStr">
        <is>
          <t>代課教師</t>
        </is>
      </c>
      <c r="B12" s="141" t="inlineStr">
        <is>
          <t>公假</t>
        </is>
      </c>
      <c r="C12" s="141" t="inlineStr">
        <is>
          <t>合計全日</t>
        </is>
      </c>
      <c r="D12" s="141" t="inlineStr">
        <is>
          <t>合計鐘點</t>
        </is>
      </c>
      <c r="E12" s="141" t="inlineStr">
        <is>
          <t>金額合計</t>
        </is>
      </c>
      <c r="F12" s="188" t="n"/>
      <c r="G12" s="141" t="inlineStr">
        <is>
          <t>備註</t>
        </is>
      </c>
    </row>
    <row r="13">
      <c r="A13" s="141" t="inlineStr">
        <is>
          <t>楊燕青</t>
        </is>
      </c>
      <c r="B13" s="141" t="n"/>
      <c r="C13" s="141" t="n"/>
      <c r="D13" s="141" t="n">
        <v>2</v>
      </c>
      <c r="E13" s="141" t="n"/>
      <c r="F13" s="188" t="n"/>
      <c r="G13" s="141" t="n"/>
    </row>
    <row r="14">
      <c r="A14" s="141" t="n"/>
      <c r="B14" s="141" t="n"/>
      <c r="C14" s="141" t="n"/>
      <c r="D14" s="141" t="n"/>
      <c r="E14" s="141" t="n"/>
      <c r="F14" s="188" t="n"/>
      <c r="G14" s="25" t="n"/>
    </row>
    <row r="15">
      <c r="A15" s="141" t="n"/>
      <c r="B15" s="141" t="n"/>
      <c r="C15" s="141" t="n"/>
      <c r="D15" s="141" t="n"/>
      <c r="E15" s="141" t="n"/>
      <c r="F15" s="188" t="n"/>
      <c r="G15" s="25" t="n"/>
    </row>
    <row r="16">
      <c r="A16" s="141" t="n"/>
      <c r="B16" s="141" t="n"/>
      <c r="C16" s="141" t="n"/>
      <c r="D16" s="141" t="n"/>
      <c r="E16" s="141" t="n"/>
      <c r="F16" s="188" t="n"/>
      <c r="G16" s="25" t="n"/>
    </row>
    <row r="17">
      <c r="A17" s="15" t="n"/>
      <c r="B17" s="27" t="n"/>
      <c r="C17" s="27" t="n"/>
      <c r="D17" s="27" t="n"/>
      <c r="E17" s="27" t="n"/>
      <c r="F17" s="27" t="n"/>
      <c r="G17" s="15" t="n"/>
    </row>
    <row r="18" ht="32.4" customHeight="1" s="181">
      <c r="A18" s="17" t="inlineStr">
        <is>
          <t>教務組長</t>
        </is>
      </c>
      <c r="B18" s="21" t="n"/>
      <c r="C18" s="15" t="n"/>
      <c r="D18" s="20" t="inlineStr">
        <is>
          <t>教務主任</t>
        </is>
      </c>
      <c r="E18" s="28" t="n"/>
      <c r="F18" s="15" t="n"/>
      <c r="G18" s="20" t="inlineStr">
        <is>
          <t>校長</t>
        </is>
      </c>
    </row>
  </sheetData>
  <mergeCells count="7">
    <mergeCell ref="E12:F12"/>
    <mergeCell ref="E16:F16"/>
    <mergeCell ref="E15:F15"/>
    <mergeCell ref="A1:I1"/>
    <mergeCell ref="E13:F13"/>
    <mergeCell ref="E14:F14"/>
    <mergeCell ref="A10:G11"/>
  </mergeCells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tabColor theme="7" tint="0.3999755851924192"/>
    <outlinePr summaryBelow="1" summaryRight="1"/>
    <pageSetUpPr fitToPage="1"/>
  </sheetPr>
  <dimension ref="A1:I19"/>
  <sheetViews>
    <sheetView workbookViewId="0">
      <selection activeCell="A1" sqref="A1:I19"/>
    </sheetView>
  </sheetViews>
  <sheetFormatPr baseColWidth="8" defaultRowHeight="16.2"/>
  <sheetData>
    <row r="1" ht="28.8" customHeight="1" s="181" thickBot="1">
      <c r="A1" s="147" t="inlineStr">
        <is>
          <t>代課一覽表(109/06/01至109/06/30)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39.75" customHeight="1" s="181">
      <c r="A3" s="46" t="inlineStr">
        <is>
          <t>蔡志益</t>
        </is>
      </c>
      <c r="B3" s="47" t="inlineStr">
        <is>
          <t>5/13</t>
        </is>
      </c>
      <c r="C3" s="141" t="inlineStr">
        <is>
          <t>三</t>
        </is>
      </c>
      <c r="D3" s="141" t="n"/>
      <c r="E3" s="47" t="n"/>
      <c r="F3" s="141" t="n">
        <v>1</v>
      </c>
      <c r="G3" s="49" t="inlineStr">
        <is>
          <t>公</t>
        </is>
      </c>
      <c r="H3" s="53" t="inlineStr">
        <is>
          <t>永安小字第1090001970號</t>
        </is>
      </c>
      <c r="I3" s="51" t="inlineStr">
        <is>
          <t>楊婉瑄</t>
        </is>
      </c>
    </row>
    <row r="4" ht="55.2" customHeight="1" s="181">
      <c r="A4" s="46" t="inlineStr">
        <is>
          <t>魏瑋婷</t>
        </is>
      </c>
      <c r="B4" s="47" t="inlineStr">
        <is>
          <t>5/17</t>
        </is>
      </c>
      <c r="C4" s="141" t="inlineStr">
        <is>
          <t>二</t>
        </is>
      </c>
      <c r="D4" s="141" t="inlineStr">
        <is>
          <t>0.5日</t>
        </is>
      </c>
      <c r="E4" s="47" t="n"/>
      <c r="F4" s="141" t="n"/>
      <c r="G4" s="49" t="inlineStr">
        <is>
          <t>公</t>
        </is>
      </c>
      <c r="H4" s="50" t="inlineStr">
        <is>
          <t>中市教課字第109009367號</t>
        </is>
      </c>
      <c r="I4" s="51" t="inlineStr">
        <is>
          <t>黃加淳</t>
        </is>
      </c>
    </row>
    <row r="5" ht="16.8" customHeight="1" s="181" thickBot="1">
      <c r="A5" s="9" t="inlineStr">
        <is>
          <t>合計</t>
        </is>
      </c>
      <c r="B5" s="185" t="n"/>
      <c r="C5" s="11" t="n"/>
      <c r="D5" s="12" t="inlineStr">
        <is>
          <t>0.5日</t>
        </is>
      </c>
      <c r="E5" s="12" t="n"/>
      <c r="F5" s="12">
        <f>SUM(F3:F4)</f>
        <v/>
      </c>
      <c r="G5" s="12" t="n"/>
      <c r="H5" s="13" t="n"/>
      <c r="I5" s="14" t="n"/>
    </row>
    <row r="6">
      <c r="A6" s="15" t="n"/>
      <c r="B6" s="164" t="n"/>
      <c r="C6" s="15" t="n"/>
      <c r="D6" s="15" t="n"/>
      <c r="E6" s="15" t="n"/>
      <c r="F6" s="15" t="n"/>
      <c r="G6" s="15" t="n"/>
      <c r="H6" s="17" t="n"/>
      <c r="I6" s="15" t="n"/>
    </row>
    <row r="7" ht="32.4" customHeight="1" s="181">
      <c r="A7" s="17" t="inlineStr">
        <is>
          <t>教務組長</t>
        </is>
      </c>
      <c r="B7" s="21" t="n"/>
      <c r="C7" s="19" t="n"/>
      <c r="D7" s="19" t="inlineStr">
        <is>
          <t>教務主任</t>
        </is>
      </c>
      <c r="E7" s="19" t="n"/>
      <c r="F7" s="15" t="n"/>
      <c r="G7" s="20" t="inlineStr">
        <is>
          <t>校長</t>
        </is>
      </c>
      <c r="H7" s="21" t="n"/>
      <c r="I7" s="15" t="n"/>
    </row>
    <row r="11" ht="35.25" customHeight="1" s="181">
      <c r="A11" s="186" t="inlineStr">
        <is>
          <t>馬鳴國小代課費領款計算表
(109/06/01至109/06/30)</t>
        </is>
      </c>
    </row>
    <row r="12" ht="28.2" customHeight="1" s="181">
      <c r="A12" s="187" t="n"/>
      <c r="B12" s="187" t="n"/>
      <c r="C12" s="187" t="n"/>
      <c r="D12" s="187" t="n"/>
      <c r="E12" s="187" t="n"/>
      <c r="F12" s="187" t="n"/>
      <c r="G12" s="187" t="n"/>
      <c r="H12" s="147" t="n"/>
      <c r="I12" s="147" t="n"/>
    </row>
    <row r="13">
      <c r="A13" s="141" t="inlineStr">
        <is>
          <t>.</t>
        </is>
      </c>
      <c r="B13" s="141" t="inlineStr">
        <is>
          <t>公假</t>
        </is>
      </c>
      <c r="C13" s="141" t="inlineStr">
        <is>
          <t>合計全日</t>
        </is>
      </c>
      <c r="D13" s="141" t="inlineStr">
        <is>
          <t>合計鐘點</t>
        </is>
      </c>
      <c r="E13" s="141" t="inlineStr">
        <is>
          <t>金額合計</t>
        </is>
      </c>
      <c r="F13" s="188" t="n"/>
      <c r="G13" s="141" t="inlineStr">
        <is>
          <t>備註</t>
        </is>
      </c>
    </row>
    <row r="14">
      <c r="A14" s="141" t="inlineStr">
        <is>
          <t>楊婉瑄</t>
        </is>
      </c>
      <c r="B14" s="141" t="n"/>
      <c r="C14" s="141" t="n"/>
      <c r="D14" s="141" t="n">
        <v>1</v>
      </c>
      <c r="E14" s="141" t="n"/>
      <c r="F14" s="188" t="n"/>
      <c r="G14" s="141" t="n"/>
    </row>
    <row r="15">
      <c r="A15" s="141" t="inlineStr">
        <is>
          <t>黃加淳</t>
        </is>
      </c>
      <c r="B15" s="141" t="n"/>
      <c r="C15" s="141" t="n">
        <v>0.5</v>
      </c>
      <c r="D15" s="141" t="n"/>
      <c r="E15" s="141" t="n"/>
      <c r="F15" s="188" t="n"/>
      <c r="G15" s="25" t="n"/>
    </row>
    <row r="16">
      <c r="A16" s="141" t="n"/>
      <c r="B16" s="141" t="n"/>
      <c r="C16" s="141" t="n"/>
      <c r="D16" s="141" t="n"/>
      <c r="E16" s="141" t="n"/>
      <c r="F16" s="188" t="n"/>
      <c r="G16" s="25" t="n"/>
    </row>
    <row r="17">
      <c r="A17" s="141" t="n"/>
      <c r="B17" s="141" t="n"/>
      <c r="C17" s="141" t="n"/>
      <c r="D17" s="141" t="n"/>
      <c r="E17" s="141" t="n"/>
      <c r="F17" s="188" t="n"/>
      <c r="G17" s="25" t="n"/>
    </row>
    <row r="18">
      <c r="A18" s="15" t="n"/>
      <c r="B18" s="27" t="n"/>
      <c r="C18" s="27" t="n"/>
      <c r="D18" s="27" t="n"/>
      <c r="E18" s="27" t="n"/>
      <c r="F18" s="27" t="n"/>
      <c r="G18" s="15" t="n"/>
    </row>
    <row r="19" ht="32.4" customHeight="1" s="181">
      <c r="A19" s="17" t="inlineStr">
        <is>
          <t>教務組長</t>
        </is>
      </c>
      <c r="B19" s="21" t="n"/>
      <c r="C19" s="15" t="n"/>
      <c r="D19" s="20" t="inlineStr">
        <is>
          <t>教務主任</t>
        </is>
      </c>
      <c r="E19" s="28" t="n"/>
      <c r="F19" s="15" t="n"/>
      <c r="G19" s="20" t="inlineStr">
        <is>
          <t>校長</t>
        </is>
      </c>
    </row>
  </sheetData>
  <mergeCells count="7">
    <mergeCell ref="E16:F16"/>
    <mergeCell ref="E15:F15"/>
    <mergeCell ref="A1:I1"/>
    <mergeCell ref="E13:F13"/>
    <mergeCell ref="E14:F14"/>
    <mergeCell ref="E17:F17"/>
    <mergeCell ref="A11:G12"/>
  </mergeCell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I22"/>
  <sheetViews>
    <sheetView workbookViewId="0">
      <selection activeCell="A1" sqref="A1:I19"/>
    </sheetView>
  </sheetViews>
  <sheetFormatPr baseColWidth="8" defaultRowHeight="16.2"/>
  <sheetData>
    <row r="1" ht="28.8" customHeight="1" s="181" thickBot="1">
      <c r="A1" s="147" t="inlineStr">
        <is>
          <t>代課一覽表(109/06/01至109/06/30)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55.2" customHeight="1" s="181">
      <c r="A3" s="61" t="inlineStr">
        <is>
          <t>紀乃綺</t>
        </is>
      </c>
      <c r="B3" s="47" t="inlineStr">
        <is>
          <t>6/2</t>
        </is>
      </c>
      <c r="C3" s="62" t="inlineStr">
        <is>
          <t>二</t>
        </is>
      </c>
      <c r="D3" s="62" t="inlineStr">
        <is>
          <t>3小時</t>
        </is>
      </c>
      <c r="E3" s="62" t="inlineStr">
        <is>
          <t>1.3.4節</t>
        </is>
      </c>
      <c r="F3" s="62" t="n">
        <v>3</v>
      </c>
      <c r="G3" s="63" t="inlineStr">
        <is>
          <t>公</t>
        </is>
      </c>
      <c r="H3" s="64" t="inlineStr">
        <is>
          <t>中市教小字第1090038554</t>
        </is>
      </c>
      <c r="I3" s="65" t="inlineStr">
        <is>
          <t>李瑜華</t>
        </is>
      </c>
    </row>
    <row r="4" ht="55.2" customHeight="1" s="181">
      <c r="A4" s="61" t="inlineStr">
        <is>
          <t>王慈慧</t>
        </is>
      </c>
      <c r="B4" s="47" t="inlineStr">
        <is>
          <t>6/11</t>
        </is>
      </c>
      <c r="C4" s="62" t="inlineStr">
        <is>
          <t>四</t>
        </is>
      </c>
      <c r="D4" s="62" t="inlineStr">
        <is>
          <t>3小時</t>
        </is>
      </c>
      <c r="E4" s="62" t="inlineStr">
        <is>
          <t>1.3.4節</t>
        </is>
      </c>
      <c r="F4" s="62" t="n">
        <v>3</v>
      </c>
      <c r="G4" s="141" t="inlineStr">
        <is>
          <t>公</t>
        </is>
      </c>
      <c r="H4" s="64" t="inlineStr">
        <is>
          <t>中市教學字第1090046838</t>
        </is>
      </c>
      <c r="I4" s="65" t="inlineStr">
        <is>
          <t>李君珮</t>
        </is>
      </c>
    </row>
    <row r="5" ht="41.4" customHeight="1" s="181">
      <c r="A5" s="46" t="inlineStr">
        <is>
          <t>魏瑋婷</t>
        </is>
      </c>
      <c r="B5" s="47" t="inlineStr">
        <is>
          <t>6/12</t>
        </is>
      </c>
      <c r="C5" s="141" t="inlineStr">
        <is>
          <t>五</t>
        </is>
      </c>
      <c r="D5" s="141" t="inlineStr">
        <is>
          <t>1日</t>
        </is>
      </c>
      <c r="E5" s="47" t="n"/>
      <c r="F5" s="141" t="n"/>
      <c r="G5" s="49" t="inlineStr">
        <is>
          <t>公</t>
        </is>
      </c>
      <c r="H5" s="50" t="inlineStr">
        <is>
          <t>中市教課1080095273</t>
        </is>
      </c>
      <c r="I5" s="51" t="inlineStr">
        <is>
          <t>黃加淳</t>
        </is>
      </c>
    </row>
    <row r="6" ht="55.2" customHeight="1" s="181">
      <c r="A6" s="46" t="inlineStr">
        <is>
          <t>林珈羽</t>
        </is>
      </c>
      <c r="B6" s="47" t="inlineStr">
        <is>
          <t>6/30</t>
        </is>
      </c>
      <c r="C6" s="141" t="inlineStr">
        <is>
          <t>六</t>
        </is>
      </c>
      <c r="D6" s="141" t="inlineStr">
        <is>
          <t>3小時</t>
        </is>
      </c>
      <c r="E6" s="47" t="inlineStr">
        <is>
          <t>5-7節</t>
        </is>
      </c>
      <c r="F6" s="141" t="n">
        <v>3</v>
      </c>
      <c r="G6" s="49" t="inlineStr">
        <is>
          <t>公</t>
        </is>
      </c>
      <c r="H6" s="50" t="inlineStr">
        <is>
          <t>中市教幼字第1090050808</t>
        </is>
      </c>
      <c r="I6" s="30" t="inlineStr">
        <is>
          <t>楊燕青</t>
        </is>
      </c>
    </row>
    <row r="7" ht="24.9" customHeight="1" s="181" thickBot="1">
      <c r="A7" s="9" t="inlineStr">
        <is>
          <t>合計</t>
        </is>
      </c>
      <c r="B7" s="185" t="n"/>
      <c r="C7" s="11" t="n"/>
      <c r="D7" s="12" t="inlineStr">
        <is>
          <t>1日6小時</t>
        </is>
      </c>
      <c r="E7" s="12" t="n"/>
      <c r="F7" s="12" t="n">
        <v>9</v>
      </c>
      <c r="G7" s="12" t="n"/>
      <c r="H7" s="13" t="n"/>
      <c r="I7" s="14" t="n"/>
    </row>
    <row r="8">
      <c r="A8" s="15" t="n"/>
      <c r="B8" s="164" t="n"/>
      <c r="C8" s="15" t="n"/>
      <c r="D8" s="15" t="n"/>
      <c r="E8" s="15" t="n"/>
      <c r="F8" s="15" t="n"/>
      <c r="G8" s="15" t="n"/>
      <c r="H8" s="17" t="n"/>
      <c r="I8" s="15" t="n"/>
    </row>
    <row r="9" ht="32.4" customHeight="1" s="181">
      <c r="A9" s="17" t="inlineStr">
        <is>
          <t>教務組長</t>
        </is>
      </c>
      <c r="B9" s="21" t="n"/>
      <c r="C9" s="19" t="n"/>
      <c r="D9" s="19" t="inlineStr">
        <is>
          <t>教務主任</t>
        </is>
      </c>
      <c r="E9" s="19" t="n"/>
      <c r="F9" s="15" t="n"/>
      <c r="G9" s="20" t="inlineStr">
        <is>
          <t>校長</t>
        </is>
      </c>
      <c r="H9" s="21" t="n"/>
      <c r="I9" s="15" t="n"/>
    </row>
    <row r="10" ht="30" customHeight="1" s="181"/>
    <row r="11" ht="30" customHeight="1" s="181"/>
    <row r="13" ht="30" customHeight="1" s="181">
      <c r="A13" s="186" t="inlineStr">
        <is>
          <t>馬鳴國小代課費領款計算表
(109/06/01至109/06/30)</t>
        </is>
      </c>
    </row>
    <row r="14" ht="30" customHeight="1" s="181">
      <c r="A14" s="187" t="n"/>
      <c r="B14" s="187" t="n"/>
      <c r="C14" s="187" t="n"/>
      <c r="D14" s="187" t="n"/>
      <c r="E14" s="187" t="n"/>
      <c r="F14" s="187" t="n"/>
      <c r="G14" s="187" t="n"/>
      <c r="H14" s="147" t="n"/>
      <c r="I14" s="147" t="n"/>
    </row>
    <row r="15">
      <c r="A15" s="141" t="inlineStr">
        <is>
          <t>代課教師</t>
        </is>
      </c>
      <c r="B15" s="141" t="inlineStr">
        <is>
          <t>公假</t>
        </is>
      </c>
      <c r="C15" s="141" t="inlineStr">
        <is>
          <t>合計全日</t>
        </is>
      </c>
      <c r="D15" s="141" t="inlineStr">
        <is>
          <t>合計鐘點</t>
        </is>
      </c>
      <c r="E15" s="141" t="inlineStr">
        <is>
          <t>金額合計</t>
        </is>
      </c>
      <c r="F15" s="188" t="n"/>
      <c r="G15" s="141" t="inlineStr">
        <is>
          <t>備註</t>
        </is>
      </c>
    </row>
    <row r="16">
      <c r="A16" s="141" t="inlineStr">
        <is>
          <t>李瑜華</t>
        </is>
      </c>
      <c r="B16" s="141" t="inlineStr">
        <is>
          <t>公</t>
        </is>
      </c>
      <c r="C16" s="141" t="n"/>
      <c r="D16" s="141" t="n">
        <v>3</v>
      </c>
      <c r="E16" s="141" t="n"/>
      <c r="F16" s="188" t="n"/>
      <c r="G16" s="141" t="n"/>
    </row>
    <row r="17">
      <c r="A17" s="141" t="inlineStr">
        <is>
          <t>李君珮</t>
        </is>
      </c>
      <c r="B17" s="141" t="inlineStr">
        <is>
          <t>公</t>
        </is>
      </c>
      <c r="C17" s="141" t="n"/>
      <c r="D17" s="141" t="n">
        <v>3</v>
      </c>
      <c r="E17" s="141" t="n"/>
      <c r="F17" s="188" t="n"/>
      <c r="G17" s="141" t="n"/>
    </row>
    <row r="18">
      <c r="A18" s="141" t="inlineStr">
        <is>
          <t>黃加淳</t>
        </is>
      </c>
      <c r="B18" s="141" t="inlineStr">
        <is>
          <t>公</t>
        </is>
      </c>
      <c r="C18" s="141" t="n">
        <v>1</v>
      </c>
      <c r="D18" s="141" t="n"/>
      <c r="E18" s="141" t="n"/>
      <c r="F18" s="188" t="n"/>
      <c r="G18" s="141" t="n"/>
    </row>
    <row r="19">
      <c r="A19" s="141" t="inlineStr">
        <is>
          <t>楊燕青</t>
        </is>
      </c>
      <c r="B19" s="141" t="inlineStr">
        <is>
          <t>公</t>
        </is>
      </c>
      <c r="C19" s="141" t="n"/>
      <c r="D19" s="141" t="n">
        <v>3</v>
      </c>
      <c r="E19" s="141" t="n"/>
      <c r="F19" s="188" t="n"/>
      <c r="G19" s="25" t="n"/>
    </row>
    <row r="20">
      <c r="A20" s="141" t="n"/>
      <c r="B20" s="141" t="n"/>
      <c r="C20" s="141" t="n"/>
      <c r="D20" s="141" t="n"/>
      <c r="E20" s="141" t="n"/>
      <c r="F20" s="188" t="n"/>
      <c r="G20" s="25" t="n"/>
    </row>
    <row r="21">
      <c r="A21" s="15" t="n"/>
      <c r="B21" s="27" t="n"/>
      <c r="C21" s="27" t="n"/>
      <c r="D21" s="27" t="n"/>
      <c r="E21" s="27" t="n"/>
      <c r="F21" s="27" t="n"/>
      <c r="G21" s="15" t="n"/>
    </row>
    <row r="22" ht="32.4" customHeight="1" s="181">
      <c r="A22" s="17" t="inlineStr">
        <is>
          <t>教務組長</t>
        </is>
      </c>
      <c r="B22" s="21" t="n"/>
      <c r="C22" s="15" t="n"/>
      <c r="D22" s="20" t="inlineStr">
        <is>
          <t>教務主任</t>
        </is>
      </c>
      <c r="E22" s="28" t="n"/>
      <c r="F22" s="15" t="n"/>
      <c r="G22" s="20" t="inlineStr">
        <is>
          <t>校長</t>
        </is>
      </c>
    </row>
  </sheetData>
  <mergeCells count="8">
    <mergeCell ref="E20:F20"/>
    <mergeCell ref="E16:F16"/>
    <mergeCell ref="E15:F15"/>
    <mergeCell ref="A13:G14"/>
    <mergeCell ref="E19:F19"/>
    <mergeCell ref="A1:I1"/>
    <mergeCell ref="E17:F17"/>
    <mergeCell ref="E18:F18"/>
  </mergeCells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I18"/>
  <sheetViews>
    <sheetView workbookViewId="0">
      <selection activeCell="A1" sqref="A1:I19"/>
    </sheetView>
  </sheetViews>
  <sheetFormatPr baseColWidth="8" defaultRowHeight="16.2"/>
  <cols>
    <col width="10.44140625" customWidth="1" style="181" min="8" max="8"/>
  </cols>
  <sheetData>
    <row r="1" ht="28.8" customHeight="1" s="181" thickBot="1">
      <c r="A1" s="147" t="inlineStr">
        <is>
          <t>代課一覽表(109/07/01至109/07/31)</t>
        </is>
      </c>
    </row>
    <row r="2">
      <c r="A2" s="1" t="inlineStr">
        <is>
          <t>教師姓名</t>
        </is>
      </c>
      <c r="B2" s="2" t="inlineStr">
        <is>
          <t>日期</t>
        </is>
      </c>
      <c r="C2" s="2" t="inlineStr">
        <is>
          <t>星期</t>
        </is>
      </c>
      <c r="D2" s="2" t="inlineStr">
        <is>
          <t>日數/鐘點</t>
        </is>
      </c>
      <c r="E2" s="2" t="inlineStr">
        <is>
          <t>節次</t>
        </is>
      </c>
      <c r="F2" s="2" t="inlineStr">
        <is>
          <t>節數</t>
        </is>
      </c>
      <c r="G2" s="2" t="inlineStr">
        <is>
          <t>假別</t>
        </is>
      </c>
      <c r="H2" s="2" t="inlineStr">
        <is>
          <t>備註(文號)</t>
        </is>
      </c>
      <c r="I2" s="38" t="inlineStr">
        <is>
          <t>代課老師</t>
        </is>
      </c>
    </row>
    <row r="3" ht="50.4" customHeight="1" s="181">
      <c r="A3" s="46" t="inlineStr">
        <is>
          <t>魏瑋婷</t>
        </is>
      </c>
      <c r="B3" s="47" t="inlineStr">
        <is>
          <t>7/9</t>
        </is>
      </c>
      <c r="C3" s="141" t="inlineStr">
        <is>
          <t>五</t>
        </is>
      </c>
      <c r="D3" s="141" t="inlineStr">
        <is>
          <t>0.5日</t>
        </is>
      </c>
      <c r="E3" s="47" t="n"/>
      <c r="F3" s="141" t="n"/>
      <c r="G3" s="49" t="inlineStr">
        <is>
          <t>公</t>
        </is>
      </c>
      <c r="H3" s="53" t="inlineStr">
        <is>
          <t>中市教資字第1090045931號</t>
        </is>
      </c>
      <c r="I3" s="51" t="inlineStr">
        <is>
          <t>黃加淳</t>
        </is>
      </c>
    </row>
    <row r="4" ht="16.8" customHeight="1" s="181" thickBot="1">
      <c r="A4" s="9" t="inlineStr">
        <is>
          <t>合計</t>
        </is>
      </c>
      <c r="B4" s="185" t="n"/>
      <c r="C4" s="11" t="n"/>
      <c r="D4" s="12" t="n"/>
      <c r="E4" s="12" t="n"/>
      <c r="F4" s="12">
        <f>SUM(F3:F3)</f>
        <v/>
      </c>
      <c r="G4" s="12" t="n"/>
      <c r="H4" s="13" t="n"/>
      <c r="I4" s="14" t="n"/>
    </row>
    <row r="5">
      <c r="A5" s="15" t="n"/>
      <c r="B5" s="164" t="n"/>
      <c r="C5" s="15" t="n"/>
      <c r="D5" s="15" t="n"/>
      <c r="E5" s="15" t="n"/>
      <c r="F5" s="15" t="n"/>
      <c r="G5" s="15" t="n"/>
      <c r="H5" s="17" t="n"/>
      <c r="I5" s="15" t="n"/>
    </row>
    <row r="6" ht="32.4" customHeight="1" s="181">
      <c r="A6" s="17" t="inlineStr">
        <is>
          <t>教務組長</t>
        </is>
      </c>
      <c r="B6" s="21" t="n"/>
      <c r="C6" s="19" t="inlineStr">
        <is>
          <t>勞健保</t>
        </is>
      </c>
      <c r="D6" s="19" t="n"/>
      <c r="E6" s="19" t="inlineStr">
        <is>
          <t>教務主任</t>
        </is>
      </c>
      <c r="F6" s="15" t="n"/>
      <c r="G6" s="20" t="inlineStr">
        <is>
          <t>校長</t>
        </is>
      </c>
      <c r="H6" s="21" t="n"/>
      <c r="I6" s="15" t="n"/>
    </row>
    <row r="10" ht="24" customHeight="1" s="181">
      <c r="A10" s="186" t="inlineStr">
        <is>
          <t>馬鳴國小代課費領款計算表
(109/07/01至109/07/31)</t>
        </is>
      </c>
    </row>
    <row r="11" ht="28.2" customHeight="1" s="181">
      <c r="A11" s="187" t="n"/>
      <c r="B11" s="187" t="n"/>
      <c r="C11" s="187" t="n"/>
      <c r="D11" s="187" t="n"/>
      <c r="E11" s="187" t="n"/>
      <c r="F11" s="187" t="n"/>
      <c r="G11" s="187" t="n"/>
      <c r="H11" s="147" t="n"/>
      <c r="I11" s="147" t="n"/>
    </row>
    <row r="12">
      <c r="A12" s="141" t="inlineStr">
        <is>
          <t>代課教師</t>
        </is>
      </c>
      <c r="B12" s="141" t="inlineStr">
        <is>
          <t>公假</t>
        </is>
      </c>
      <c r="C12" s="141" t="inlineStr">
        <is>
          <t>合計全日</t>
        </is>
      </c>
      <c r="D12" s="141" t="inlineStr">
        <is>
          <t>合計鐘點</t>
        </is>
      </c>
      <c r="E12" s="141" t="inlineStr">
        <is>
          <t>金額合計</t>
        </is>
      </c>
      <c r="F12" s="188" t="n"/>
      <c r="G12" s="141" t="inlineStr">
        <is>
          <t>備註</t>
        </is>
      </c>
    </row>
    <row r="13">
      <c r="A13" s="141" t="inlineStr">
        <is>
          <t>黃加淳</t>
        </is>
      </c>
      <c r="B13" s="141" t="n"/>
      <c r="C13" s="141" t="inlineStr">
        <is>
          <t>0.5日</t>
        </is>
      </c>
      <c r="D13" s="141" t="n"/>
      <c r="E13" s="141" t="n"/>
      <c r="F13" s="188" t="n"/>
      <c r="G13" s="141" t="n"/>
    </row>
    <row r="14">
      <c r="A14" s="141" t="n"/>
      <c r="B14" s="141" t="n"/>
      <c r="C14" s="141" t="n"/>
      <c r="D14" s="141" t="n"/>
      <c r="E14" s="141" t="n"/>
      <c r="F14" s="188" t="n"/>
      <c r="G14" s="25" t="n"/>
    </row>
    <row r="15">
      <c r="A15" s="141" t="n"/>
      <c r="B15" s="141" t="n"/>
      <c r="C15" s="141" t="n"/>
      <c r="D15" s="141" t="n"/>
      <c r="E15" s="141" t="n"/>
      <c r="F15" s="188" t="n"/>
      <c r="G15" s="25" t="n"/>
    </row>
    <row r="16">
      <c r="A16" s="141" t="n"/>
      <c r="B16" s="141" t="n"/>
      <c r="C16" s="141" t="n"/>
      <c r="D16" s="141" t="n"/>
      <c r="E16" s="141" t="n"/>
      <c r="F16" s="188" t="n"/>
      <c r="G16" s="25" t="n"/>
    </row>
    <row r="17">
      <c r="A17" s="15" t="n"/>
      <c r="B17" s="27" t="n"/>
      <c r="C17" s="27" t="n"/>
      <c r="D17" s="27" t="n"/>
      <c r="E17" s="27" t="n"/>
      <c r="F17" s="27" t="n"/>
      <c r="G17" s="15" t="n"/>
    </row>
    <row r="18" ht="32.4" customHeight="1" s="181">
      <c r="A18" s="17" t="inlineStr">
        <is>
          <t>教務組長</t>
        </is>
      </c>
      <c r="B18" s="21" t="n"/>
      <c r="C18" s="15" t="inlineStr">
        <is>
          <t>勞健保</t>
        </is>
      </c>
      <c r="D18" s="19" t="n"/>
      <c r="E18" s="19" t="inlineStr">
        <is>
          <t>教務主任</t>
        </is>
      </c>
      <c r="F18" s="15" t="n"/>
      <c r="G18" s="20" t="inlineStr">
        <is>
          <t>校長</t>
        </is>
      </c>
    </row>
  </sheetData>
  <mergeCells count="7">
    <mergeCell ref="E12:F12"/>
    <mergeCell ref="E16:F16"/>
    <mergeCell ref="E15:F15"/>
    <mergeCell ref="A1:I1"/>
    <mergeCell ref="E13:F13"/>
    <mergeCell ref="E14:F14"/>
    <mergeCell ref="A10:G11"/>
  </mergeCells>
  <pageMargins left="0.7" right="0.7" top="0.75" bottom="0.75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:I19"/>
    </sheetView>
  </sheetViews>
  <sheetFormatPr baseColWidth="8" defaultRowHeight="16.2"/>
  <cols>
    <col width="11" bestFit="1" customWidth="1" style="181" min="2" max="2"/>
  </cols>
  <sheetData>
    <row r="1" ht="24" customHeight="1" s="181" thickBot="1">
      <c r="A1" s="153" t="inlineStr">
        <is>
          <t>代課一覽表(109/09/01至109/09/30)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60" customHeight="1" s="181" thickBot="1">
      <c r="A2" s="67" t="inlineStr">
        <is>
          <t>教師姓名</t>
        </is>
      </c>
      <c r="B2" s="68" t="inlineStr">
        <is>
          <t>日期</t>
        </is>
      </c>
      <c r="C2" s="68" t="inlineStr">
        <is>
          <t>星期</t>
        </is>
      </c>
      <c r="D2" s="68" t="inlineStr">
        <is>
          <t>日數/鐘點</t>
        </is>
      </c>
      <c r="E2" s="68" t="inlineStr">
        <is>
          <t>節次</t>
        </is>
      </c>
      <c r="F2" s="68" t="inlineStr">
        <is>
          <t>節數</t>
        </is>
      </c>
      <c r="G2" s="68" t="inlineStr">
        <is>
          <t>假別</t>
        </is>
      </c>
      <c r="H2" s="68" t="inlineStr">
        <is>
          <t>備註(文號）</t>
        </is>
      </c>
      <c r="I2" s="68" t="inlineStr">
        <is>
          <t>代課教師</t>
        </is>
      </c>
    </row>
    <row r="3" ht="79.8" customHeight="1" s="181" thickBot="1">
      <c r="A3" s="158" t="inlineStr">
        <is>
          <t>魏瑋婷</t>
        </is>
      </c>
      <c r="B3" s="189" t="n">
        <v>44462</v>
      </c>
      <c r="C3" s="71" t="inlineStr">
        <is>
          <t>三</t>
        </is>
      </c>
      <c r="D3" s="71" t="inlineStr">
        <is>
          <t>0.5日</t>
        </is>
      </c>
      <c r="E3" s="71" t="n"/>
      <c r="F3" s="71" t="n"/>
      <c r="G3" s="71" t="inlineStr">
        <is>
          <t>公</t>
        </is>
      </c>
      <c r="H3" s="72" t="inlineStr">
        <is>
          <t>中市教課字第1090077863號</t>
        </is>
      </c>
      <c r="I3" s="71" t="inlineStr">
        <is>
          <t>黃加淳</t>
        </is>
      </c>
    </row>
    <row r="4" ht="99.59999999999999" customHeight="1" s="181" thickBot="1">
      <c r="A4" s="158" t="inlineStr">
        <is>
          <t>黃博盟</t>
        </is>
      </c>
      <c r="B4" s="189" t="n">
        <v>44469</v>
      </c>
      <c r="C4" s="71" t="inlineStr">
        <is>
          <t>三</t>
        </is>
      </c>
      <c r="D4" s="71" t="n"/>
      <c r="E4" s="71" t="n"/>
      <c r="F4" s="71" t="n">
        <v>1</v>
      </c>
      <c r="G4" s="71" t="inlineStr">
        <is>
          <t>公</t>
        </is>
      </c>
      <c r="H4" s="71" t="inlineStr">
        <is>
          <t>中市社工字第號1090105721號</t>
        </is>
      </c>
      <c r="I4" s="71" t="inlineStr">
        <is>
          <t>楊婉瑄</t>
        </is>
      </c>
    </row>
    <row r="5" ht="20.4" customHeight="1" s="181" thickBot="1">
      <c r="A5" s="158" t="inlineStr">
        <is>
          <t>合計</t>
        </is>
      </c>
      <c r="B5" s="71" t="n"/>
      <c r="C5" s="71" t="n"/>
      <c r="D5" s="71" t="n"/>
      <c r="E5" s="71" t="n"/>
      <c r="F5" s="71" t="n"/>
      <c r="G5" s="71" t="n"/>
      <c r="H5" s="71" t="n"/>
      <c r="I5" s="71" t="n"/>
    </row>
    <row r="6">
      <c r="A6" s="101" t="n"/>
    </row>
    <row r="7" ht="19.8" customHeight="1" s="181">
      <c r="A7" s="154" t="inlineStr">
        <is>
          <t>教務組長                  教務主任                  校長</t>
        </is>
      </c>
    </row>
    <row r="8">
      <c r="A8" s="75" t="n"/>
    </row>
    <row r="9" ht="24" customHeight="1" s="181" thickBot="1">
      <c r="A9" s="76" t="inlineStr">
        <is>
          <t>馬鳴國小代課費領款計算表(109/09/01至109/09/30)</t>
        </is>
      </c>
    </row>
    <row r="10" ht="40.2" customHeight="1" s="181" thickBot="1">
      <c r="A10" s="77" t="inlineStr">
        <is>
          <t>代課教師</t>
        </is>
      </c>
      <c r="B10" s="78" t="inlineStr">
        <is>
          <t>公假</t>
        </is>
      </c>
      <c r="C10" s="78" t="inlineStr">
        <is>
          <t>合計全日</t>
        </is>
      </c>
      <c r="D10" s="78" t="inlineStr">
        <is>
          <t>合計鐘點</t>
        </is>
      </c>
      <c r="E10" s="78" t="inlineStr">
        <is>
          <t>金額合計</t>
        </is>
      </c>
      <c r="F10" s="78" t="inlineStr">
        <is>
          <t>備註</t>
        </is>
      </c>
    </row>
    <row r="11" ht="19.8" customHeight="1" s="181">
      <c r="A11" s="77" t="inlineStr">
        <is>
          <t>黃加淳</t>
        </is>
      </c>
      <c r="B11" s="77" t="inlineStr">
        <is>
          <t>0.5日</t>
        </is>
      </c>
      <c r="C11" s="77" t="n">
        <v>0.5</v>
      </c>
      <c r="D11" s="77" t="n"/>
      <c r="E11" s="77" t="n"/>
      <c r="F11" s="79" t="inlineStr">
        <is>
          <t>大學畢</t>
        </is>
      </c>
    </row>
    <row r="12" ht="40.2" customHeight="1" s="181" thickBot="1">
      <c r="A12" s="190" t="n"/>
      <c r="B12" s="190" t="n"/>
      <c r="C12" s="190" t="n"/>
      <c r="D12" s="190" t="n"/>
      <c r="E12" s="190" t="n"/>
      <c r="F12" s="80" t="inlineStr">
        <is>
          <t>無教師證</t>
        </is>
      </c>
    </row>
    <row r="13" ht="20.4" customHeight="1" s="181" thickBot="1">
      <c r="A13" s="156" t="inlineStr">
        <is>
          <t>楊婉瑄</t>
        </is>
      </c>
      <c r="B13" s="80" t="n"/>
      <c r="C13" s="80" t="n"/>
      <c r="D13" s="80" t="n">
        <v>1</v>
      </c>
      <c r="E13" s="80" t="n"/>
      <c r="F13" s="80" t="n"/>
    </row>
    <row r="14" ht="20.4" customHeight="1" s="181" thickBot="1">
      <c r="A14" s="158" t="inlineStr">
        <is>
          <t>合計</t>
        </is>
      </c>
      <c r="B14" s="80" t="n"/>
      <c r="C14" s="80" t="n"/>
      <c r="D14" s="80" t="n"/>
      <c r="E14" s="80" t="n"/>
      <c r="F14" s="80" t="n"/>
    </row>
    <row r="15">
      <c r="A15" s="101" t="n"/>
    </row>
    <row r="16" ht="19.8" customHeight="1" s="181">
      <c r="A16" s="93" t="inlineStr">
        <is>
          <t>教務組長               教務主任            校長</t>
        </is>
      </c>
    </row>
    <row r="17">
      <c r="A17" s="101" t="n"/>
    </row>
    <row r="18">
      <c r="A18" s="101" t="n"/>
    </row>
  </sheetData>
  <mergeCells count="7">
    <mergeCell ref="A7:I7"/>
    <mergeCell ref="A1:I1"/>
    <mergeCell ref="B11:B12"/>
    <mergeCell ref="C11:C12"/>
    <mergeCell ref="D11:D12"/>
    <mergeCell ref="E11:E12"/>
    <mergeCell ref="A11:A12"/>
  </mergeCells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J24"/>
  <sheetViews>
    <sheetView workbookViewId="0">
      <selection activeCell="A1" sqref="A1:I19"/>
    </sheetView>
  </sheetViews>
  <sheetFormatPr baseColWidth="8" defaultRowHeight="16.2"/>
  <cols>
    <col width="12.44140625" bestFit="1" customWidth="1" style="181" min="2" max="2"/>
  </cols>
  <sheetData>
    <row r="1" ht="24" customHeight="1" s="181" thickBot="1">
      <c r="A1" s="153" t="inlineStr">
        <is>
          <t>代課一覽表(109/10/01至109/10/31)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60" customHeight="1" s="181" thickBot="1">
      <c r="A2" s="67" t="inlineStr">
        <is>
          <t>教師姓名</t>
        </is>
      </c>
      <c r="B2" s="68" t="inlineStr">
        <is>
          <t>日期</t>
        </is>
      </c>
      <c r="C2" s="68" t="inlineStr">
        <is>
          <t>星期</t>
        </is>
      </c>
      <c r="D2" s="68" t="inlineStr">
        <is>
          <t>日數/鐘點</t>
        </is>
      </c>
      <c r="E2" s="68" t="inlineStr">
        <is>
          <t>節次</t>
        </is>
      </c>
      <c r="F2" s="68" t="inlineStr">
        <is>
          <t>節數</t>
        </is>
      </c>
      <c r="G2" s="68" t="inlineStr">
        <is>
          <t>假別</t>
        </is>
      </c>
      <c r="H2" s="68" t="inlineStr">
        <is>
          <t>備註(文號）</t>
        </is>
      </c>
      <c r="I2" s="68" t="inlineStr">
        <is>
          <t>代課教師</t>
        </is>
      </c>
    </row>
    <row r="3" ht="20.4" customHeight="1" s="181" thickBot="1">
      <c r="A3" s="158" t="inlineStr">
        <is>
          <t>紀乃綺</t>
        </is>
      </c>
      <c r="B3" s="189" t="n">
        <v>44482</v>
      </c>
      <c r="C3" s="71" t="inlineStr">
        <is>
          <t>二</t>
        </is>
      </c>
      <c r="D3" s="71" t="n"/>
      <c r="E3" s="71" t="n"/>
      <c r="F3" s="71" t="n">
        <v>2</v>
      </c>
      <c r="G3" s="71" t="inlineStr">
        <is>
          <t>喪</t>
        </is>
      </c>
      <c r="H3" s="71" t="n"/>
      <c r="I3" s="71" t="inlineStr">
        <is>
          <t>朱從瑞</t>
        </is>
      </c>
    </row>
    <row r="4" ht="20.4" customHeight="1" s="181" thickBot="1">
      <c r="A4" s="158" t="inlineStr">
        <is>
          <t>紀乃綺</t>
        </is>
      </c>
      <c r="B4" s="189" t="n">
        <v>44482</v>
      </c>
      <c r="C4" s="71" t="inlineStr">
        <is>
          <t>二</t>
        </is>
      </c>
      <c r="D4" s="71" t="n"/>
      <c r="E4" s="71" t="n"/>
      <c r="F4" s="71" t="n">
        <v>1</v>
      </c>
      <c r="G4" s="71" t="inlineStr">
        <is>
          <t>喪</t>
        </is>
      </c>
      <c r="H4" s="71" t="n"/>
      <c r="I4" s="71" t="inlineStr">
        <is>
          <t>張馨文</t>
        </is>
      </c>
    </row>
    <row r="5" ht="20.4" customHeight="1" s="181" thickBot="1">
      <c r="A5" s="158" t="inlineStr">
        <is>
          <t>紀乃綺</t>
        </is>
      </c>
      <c r="B5" s="189" t="n">
        <v>44484</v>
      </c>
      <c r="C5" s="71" t="inlineStr">
        <is>
          <t>四</t>
        </is>
      </c>
      <c r="D5" s="71" t="n"/>
      <c r="E5" s="71" t="n"/>
      <c r="F5" s="71" t="n">
        <v>2</v>
      </c>
      <c r="G5" s="71" t="inlineStr">
        <is>
          <t>喪</t>
        </is>
      </c>
      <c r="H5" s="72" t="n"/>
      <c r="I5" s="71" t="inlineStr">
        <is>
          <t>黃博盟</t>
        </is>
      </c>
    </row>
    <row r="6" ht="20.4" customHeight="1" s="181" thickBot="1">
      <c r="A6" s="158" t="inlineStr">
        <is>
          <t>紀乃綺</t>
        </is>
      </c>
      <c r="B6" s="189" t="n">
        <v>44489</v>
      </c>
      <c r="C6" s="71" t="inlineStr">
        <is>
          <t>二</t>
        </is>
      </c>
      <c r="D6" s="71" t="n"/>
      <c r="E6" s="71" t="n"/>
      <c r="F6" s="71" t="n">
        <v>2</v>
      </c>
      <c r="G6" s="71" t="inlineStr">
        <is>
          <t>喪</t>
        </is>
      </c>
      <c r="H6" s="72" t="n"/>
      <c r="I6" s="71" t="inlineStr">
        <is>
          <t>朱從瑞</t>
        </is>
      </c>
    </row>
    <row r="7" ht="20.4" customHeight="1" s="181" thickBot="1">
      <c r="A7" s="158" t="inlineStr">
        <is>
          <t>紀乃綺</t>
        </is>
      </c>
      <c r="B7" s="189" t="n">
        <v>44489</v>
      </c>
      <c r="C7" s="71" t="inlineStr">
        <is>
          <t>二</t>
        </is>
      </c>
      <c r="D7" s="71" t="n"/>
      <c r="E7" s="71" t="n"/>
      <c r="F7" s="71" t="n">
        <v>1</v>
      </c>
      <c r="G7" s="71" t="inlineStr">
        <is>
          <t>喪</t>
        </is>
      </c>
      <c r="H7" s="72" t="n"/>
      <c r="I7" s="71" t="inlineStr">
        <is>
          <t>張馨文</t>
        </is>
      </c>
    </row>
    <row r="8" ht="20.4" customHeight="1" s="181" thickBot="1">
      <c r="A8" s="158" t="inlineStr">
        <is>
          <t>紀乃綺</t>
        </is>
      </c>
      <c r="B8" s="189" t="n">
        <v>44491</v>
      </c>
      <c r="C8" s="71" t="inlineStr">
        <is>
          <t>四</t>
        </is>
      </c>
      <c r="D8" s="71" t="n"/>
      <c r="E8" s="71" t="n"/>
      <c r="F8" s="71" t="n">
        <v>1</v>
      </c>
      <c r="G8" s="71" t="inlineStr">
        <is>
          <t>喪</t>
        </is>
      </c>
      <c r="H8" s="72" t="n"/>
      <c r="I8" s="71" t="inlineStr">
        <is>
          <t>李瑜華</t>
        </is>
      </c>
    </row>
    <row r="9" ht="20.4" customHeight="1" s="181" thickBot="1">
      <c r="A9" s="158" t="inlineStr">
        <is>
          <t>紀乃綺</t>
        </is>
      </c>
      <c r="B9" s="189" t="n">
        <v>44491</v>
      </c>
      <c r="C9" s="71" t="inlineStr">
        <is>
          <t>四</t>
        </is>
      </c>
      <c r="D9" s="71" t="n"/>
      <c r="E9" s="71" t="n"/>
      <c r="F9" s="71" t="n">
        <v>1</v>
      </c>
      <c r="G9" s="71" t="inlineStr">
        <is>
          <t>喪</t>
        </is>
      </c>
      <c r="H9" s="72" t="n"/>
      <c r="I9" s="71" t="inlineStr">
        <is>
          <t>黃博盟</t>
        </is>
      </c>
    </row>
    <row r="10" ht="20.4" customHeight="1" s="181" thickBot="1">
      <c r="A10" s="158" t="inlineStr">
        <is>
          <t>紀乃綺</t>
        </is>
      </c>
      <c r="B10" s="189" t="n">
        <v>44496</v>
      </c>
      <c r="C10" s="71" t="inlineStr">
        <is>
          <t>二</t>
        </is>
      </c>
      <c r="D10" s="71" t="n"/>
      <c r="E10" s="71" t="n"/>
      <c r="F10" s="71" t="n">
        <v>2</v>
      </c>
      <c r="G10" s="71" t="inlineStr">
        <is>
          <t>喪</t>
        </is>
      </c>
      <c r="H10" s="72" t="n"/>
      <c r="I10" s="71" t="inlineStr">
        <is>
          <t>朱從瑞</t>
        </is>
      </c>
    </row>
    <row r="11" ht="20.4" customHeight="1" s="181" thickBot="1">
      <c r="A11" s="158" t="inlineStr">
        <is>
          <t>紀乃綺</t>
        </is>
      </c>
      <c r="B11" s="189" t="n">
        <v>44496</v>
      </c>
      <c r="C11" s="71" t="inlineStr">
        <is>
          <t>二</t>
        </is>
      </c>
      <c r="D11" s="71" t="n"/>
      <c r="E11" s="71" t="n"/>
      <c r="F11" s="71" t="n">
        <v>1</v>
      </c>
      <c r="G11" s="71" t="inlineStr">
        <is>
          <t>喪</t>
        </is>
      </c>
      <c r="H11" s="72" t="n"/>
      <c r="I11" s="71" t="inlineStr">
        <is>
          <t>張馨文</t>
        </is>
      </c>
    </row>
    <row r="12" ht="20.4" customHeight="1" s="181" thickBot="1">
      <c r="A12" s="158" t="inlineStr">
        <is>
          <t>紀乃綺</t>
        </is>
      </c>
      <c r="B12" s="189" t="n">
        <v>44498</v>
      </c>
      <c r="C12" s="71" t="inlineStr">
        <is>
          <t>四</t>
        </is>
      </c>
      <c r="D12" s="71" t="n"/>
      <c r="E12" s="71" t="n"/>
      <c r="F12" s="71" t="n">
        <v>1</v>
      </c>
      <c r="G12" s="71" t="inlineStr">
        <is>
          <t>喪</t>
        </is>
      </c>
      <c r="H12" s="72" t="n"/>
      <c r="I12" s="71" t="inlineStr">
        <is>
          <t>張馨文</t>
        </is>
      </c>
    </row>
    <row r="13" ht="20.4" customHeight="1" s="181" thickBot="1">
      <c r="A13" s="158" t="inlineStr">
        <is>
          <t>合計</t>
        </is>
      </c>
      <c r="B13" s="71" t="n"/>
      <c r="C13" s="71" t="n"/>
      <c r="D13" s="71" t="n"/>
      <c r="E13" s="71" t="n"/>
      <c r="F13" s="71" t="n">
        <v>14</v>
      </c>
      <c r="G13" s="71" t="n"/>
      <c r="H13" s="71" t="n"/>
      <c r="I13" s="71" t="n"/>
    </row>
    <row r="14">
      <c r="A14" s="101" t="n"/>
    </row>
    <row r="15" ht="19.8" customHeight="1" s="181">
      <c r="A15" s="154" t="inlineStr">
        <is>
          <t>教務組長                  教務主任                校長</t>
        </is>
      </c>
    </row>
    <row r="16">
      <c r="A16" s="75" t="n"/>
    </row>
    <row r="17" ht="24" customHeight="1" s="181" thickBot="1">
      <c r="A17" s="76" t="inlineStr">
        <is>
          <t>馬鳴國小代課費領款計算表(109/10/01至109/10/31)</t>
        </is>
      </c>
    </row>
    <row r="18" ht="40.2" customHeight="1" s="181" thickBot="1">
      <c r="A18" s="77" t="inlineStr">
        <is>
          <t>代課教師</t>
        </is>
      </c>
      <c r="B18" s="78" t="inlineStr">
        <is>
          <t>公假</t>
        </is>
      </c>
      <c r="C18" s="78" t="inlineStr">
        <is>
          <t>合計全日</t>
        </is>
      </c>
      <c r="D18" s="78" t="inlineStr">
        <is>
          <t>合計鐘點</t>
        </is>
      </c>
      <c r="E18" s="78" t="inlineStr">
        <is>
          <t>金額合計</t>
        </is>
      </c>
      <c r="F18" s="78" t="inlineStr">
        <is>
          <t>備註</t>
        </is>
      </c>
    </row>
    <row r="19" ht="20.4" customHeight="1" s="181" thickBot="1">
      <c r="A19" s="158" t="inlineStr">
        <is>
          <t>朱從瑞</t>
        </is>
      </c>
      <c r="B19" s="80" t="n"/>
      <c r="C19" s="80" t="n"/>
      <c r="D19" s="80" t="n">
        <v>6</v>
      </c>
      <c r="E19" s="80" t="n"/>
      <c r="F19" s="80" t="n"/>
    </row>
    <row r="20" ht="20.4" customHeight="1" s="181" thickBot="1">
      <c r="A20" s="158" t="inlineStr">
        <is>
          <t>黃博盟</t>
        </is>
      </c>
      <c r="B20" s="80" t="n"/>
      <c r="C20" s="80" t="n"/>
      <c r="D20" s="80" t="n">
        <v>3</v>
      </c>
      <c r="E20" s="80" t="n"/>
      <c r="F20" s="80" t="n"/>
    </row>
    <row r="21" ht="20.4" customHeight="1" s="181" thickBot="1">
      <c r="A21" s="158" t="inlineStr">
        <is>
          <t>張馨文</t>
        </is>
      </c>
      <c r="B21" s="80" t="n"/>
      <c r="C21" s="80" t="n"/>
      <c r="D21" s="80" t="n">
        <v>4</v>
      </c>
      <c r="E21" s="80" t="n"/>
      <c r="F21" s="80" t="n"/>
    </row>
    <row r="22" ht="20.4" customHeight="1" s="181" thickBot="1">
      <c r="A22" s="158" t="inlineStr">
        <is>
          <t>李瑜華</t>
        </is>
      </c>
      <c r="B22" s="80" t="n"/>
      <c r="C22" s="80" t="n"/>
      <c r="D22" s="80" t="n">
        <v>1</v>
      </c>
      <c r="E22" s="80" t="n"/>
      <c r="F22" s="80" t="n"/>
    </row>
    <row r="23" ht="20.4" customHeight="1" s="181" thickBot="1">
      <c r="A23" s="156" t="inlineStr">
        <is>
          <t>小計</t>
        </is>
      </c>
      <c r="B23" s="80" t="n"/>
      <c r="C23" s="80" t="n"/>
      <c r="D23" s="80" t="n">
        <v>14</v>
      </c>
      <c r="E23" s="80" t="n"/>
      <c r="F23" s="80" t="n"/>
    </row>
    <row r="24" ht="19.8" customHeight="1" s="181">
      <c r="A24" s="154" t="inlineStr">
        <is>
          <t>教務組長                  教務主任                校長</t>
        </is>
      </c>
    </row>
  </sheetData>
  <mergeCells count="3">
    <mergeCell ref="A1:I1"/>
    <mergeCell ref="A15:J15"/>
    <mergeCell ref="A24:J2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topLeftCell="A7" workbookViewId="0">
      <selection activeCell="A1" sqref="A1:I19"/>
    </sheetView>
  </sheetViews>
  <sheetFormatPr baseColWidth="8" defaultRowHeight="16.2"/>
  <cols>
    <col width="10.44140625" bestFit="1" customWidth="1" style="181" min="2" max="2"/>
  </cols>
  <sheetData>
    <row r="1" ht="24" customHeight="1" s="181" thickBot="1">
      <c r="A1" s="153" t="inlineStr">
        <is>
          <t>代課一覽表(109/12/01至109/12/23)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39" customHeight="1" s="181">
      <c r="A2" s="67" t="inlineStr">
        <is>
          <t>教師姓名</t>
        </is>
      </c>
      <c r="B2" s="67" t="inlineStr">
        <is>
          <t>日期</t>
        </is>
      </c>
      <c r="C2" s="67" t="inlineStr">
        <is>
          <t>星期</t>
        </is>
      </c>
      <c r="D2" s="67" t="inlineStr">
        <is>
          <t>日數/鐘點</t>
        </is>
      </c>
      <c r="E2" s="67" t="inlineStr">
        <is>
          <t>節次</t>
        </is>
      </c>
      <c r="F2" s="67" t="inlineStr">
        <is>
          <t>節數</t>
        </is>
      </c>
      <c r="G2" s="67" t="inlineStr">
        <is>
          <t>假別</t>
        </is>
      </c>
      <c r="H2" s="67" t="inlineStr">
        <is>
          <t>備註(文號）</t>
        </is>
      </c>
      <c r="I2" s="83" t="inlineStr">
        <is>
          <t>代課</t>
        </is>
      </c>
    </row>
    <row r="3" ht="20.4" customHeight="1" s="181" thickBot="1">
      <c r="A3" s="190" t="n"/>
      <c r="B3" s="190" t="n"/>
      <c r="C3" s="190" t="n"/>
      <c r="D3" s="190" t="n"/>
      <c r="E3" s="190" t="n"/>
      <c r="F3" s="190" t="n"/>
      <c r="G3" s="190" t="n"/>
      <c r="H3" s="190" t="n"/>
      <c r="I3" s="71" t="inlineStr">
        <is>
          <t>教師</t>
        </is>
      </c>
    </row>
    <row r="4" ht="65.40000000000001" customHeight="1" s="181" thickBot="1">
      <c r="A4" s="160" t="inlineStr">
        <is>
          <t>魏瑋婷</t>
        </is>
      </c>
      <c r="B4" s="191" t="n">
        <v>44532</v>
      </c>
      <c r="C4" s="86" t="inlineStr">
        <is>
          <t>三</t>
        </is>
      </c>
      <c r="D4" s="86" t="inlineStr">
        <is>
          <t>1日</t>
        </is>
      </c>
      <c r="E4" s="86" t="n"/>
      <c r="F4" s="86" t="n"/>
      <c r="G4" s="86" t="inlineStr">
        <is>
          <t>公</t>
        </is>
      </c>
      <c r="H4" s="86" t="inlineStr">
        <is>
          <t>中市教資字第1090099082號</t>
        </is>
      </c>
      <c r="I4" s="86" t="inlineStr">
        <is>
          <t>黃加淳</t>
        </is>
      </c>
    </row>
    <row r="5" ht="65.40000000000001" customHeight="1" s="181" thickBot="1">
      <c r="A5" s="160" t="inlineStr">
        <is>
          <t>魏瑋婷</t>
        </is>
      </c>
      <c r="B5" s="191" t="n">
        <v>44533</v>
      </c>
      <c r="C5" s="86" t="inlineStr">
        <is>
          <t>四</t>
        </is>
      </c>
      <c r="D5" s="86" t="inlineStr">
        <is>
          <t>1日</t>
        </is>
      </c>
      <c r="E5" s="86" t="n"/>
      <c r="F5" s="86" t="n"/>
      <c r="G5" s="86" t="inlineStr">
        <is>
          <t>公</t>
        </is>
      </c>
      <c r="H5" s="86" t="inlineStr">
        <is>
          <t>中市教資字第1090099082號</t>
        </is>
      </c>
      <c r="I5" s="86" t="inlineStr">
        <is>
          <t>李君珮</t>
        </is>
      </c>
    </row>
    <row r="6" ht="65.40000000000001" customHeight="1" s="181" thickBot="1">
      <c r="A6" s="160" t="inlineStr">
        <is>
          <t>紀乃綺</t>
        </is>
      </c>
      <c r="B6" s="191" t="n">
        <v>44538</v>
      </c>
      <c r="C6" s="86" t="inlineStr">
        <is>
          <t>二</t>
        </is>
      </c>
      <c r="D6" s="86" t="n"/>
      <c r="E6" s="86" t="n"/>
      <c r="F6" s="86" t="n">
        <v>2</v>
      </c>
      <c r="G6" s="86" t="inlineStr">
        <is>
          <t>公</t>
        </is>
      </c>
      <c r="H6" s="86" t="inlineStr">
        <is>
          <t>中市教課字第1090093879號</t>
        </is>
      </c>
      <c r="I6" s="86" t="inlineStr">
        <is>
          <t>朱從瑞</t>
        </is>
      </c>
    </row>
    <row r="7" ht="65.40000000000001" customHeight="1" s="181" thickBot="1">
      <c r="A7" s="160" t="inlineStr">
        <is>
          <t>黃博盟</t>
        </is>
      </c>
      <c r="B7" s="191" t="n">
        <v>44539</v>
      </c>
      <c r="C7" s="86" t="inlineStr">
        <is>
          <t>三</t>
        </is>
      </c>
      <c r="D7" s="86" t="n"/>
      <c r="E7" s="86" t="n"/>
      <c r="F7" s="86" t="n">
        <v>1</v>
      </c>
      <c r="G7" s="86" t="inlineStr">
        <is>
          <t>公</t>
        </is>
      </c>
      <c r="H7" s="86" t="inlineStr">
        <is>
          <t>中市教體字第1090104736號</t>
        </is>
      </c>
      <c r="I7" s="86" t="inlineStr">
        <is>
          <t>李瑜華</t>
        </is>
      </c>
    </row>
    <row r="8" ht="65.40000000000001" customHeight="1" s="181" thickBot="1">
      <c r="A8" s="160" t="inlineStr">
        <is>
          <t>黃博盟</t>
        </is>
      </c>
      <c r="B8" s="191" t="n">
        <v>44539</v>
      </c>
      <c r="C8" s="86" t="inlineStr">
        <is>
          <t>三</t>
        </is>
      </c>
      <c r="D8" s="86" t="n"/>
      <c r="E8" s="86" t="n"/>
      <c r="F8" s="86" t="n">
        <v>1</v>
      </c>
      <c r="G8" s="86" t="inlineStr">
        <is>
          <t>公</t>
        </is>
      </c>
      <c r="H8" s="86" t="inlineStr">
        <is>
          <t>中市教體字第1090104736號</t>
        </is>
      </c>
      <c r="I8" s="86" t="inlineStr">
        <is>
          <t>楊婉瑄</t>
        </is>
      </c>
    </row>
    <row r="9" ht="16.8" customHeight="1" s="181" thickBot="1">
      <c r="A9" s="160" t="inlineStr">
        <is>
          <t>紀乃綺</t>
        </is>
      </c>
      <c r="B9" s="191" t="n">
        <v>44552</v>
      </c>
      <c r="C9" s="86" t="inlineStr">
        <is>
          <t>二</t>
        </is>
      </c>
      <c r="D9" s="86" t="n"/>
      <c r="E9" s="86" t="n"/>
      <c r="F9" s="86" t="n">
        <v>2</v>
      </c>
      <c r="G9" s="86" t="inlineStr">
        <is>
          <t>喪</t>
        </is>
      </c>
      <c r="H9" s="87" t="n"/>
      <c r="I9" s="86" t="inlineStr">
        <is>
          <t>朱從瑞</t>
        </is>
      </c>
    </row>
    <row r="10" ht="16.8" customHeight="1" s="181" thickBot="1">
      <c r="A10" s="160" t="inlineStr">
        <is>
          <t>紀乃綺</t>
        </is>
      </c>
      <c r="B10" s="191" t="n">
        <v>44552</v>
      </c>
      <c r="C10" s="86" t="inlineStr">
        <is>
          <t>二</t>
        </is>
      </c>
      <c r="D10" s="86" t="n"/>
      <c r="E10" s="86" t="n"/>
      <c r="F10" s="86" t="n">
        <v>1</v>
      </c>
      <c r="G10" s="86" t="inlineStr">
        <is>
          <t>喪</t>
        </is>
      </c>
      <c r="H10" s="87" t="n"/>
      <c r="I10" s="86" t="inlineStr">
        <is>
          <t>張馨文</t>
        </is>
      </c>
    </row>
    <row r="11" ht="81.59999999999999" customHeight="1" s="181" thickBot="1">
      <c r="A11" s="160" t="inlineStr">
        <is>
          <t>黃敬芸</t>
        </is>
      </c>
      <c r="B11" s="191" t="n">
        <v>44553</v>
      </c>
      <c r="C11" s="86" t="inlineStr">
        <is>
          <t>三</t>
        </is>
      </c>
      <c r="D11" s="86" t="inlineStr">
        <is>
          <t>0.5日</t>
        </is>
      </c>
      <c r="E11" s="86" t="n"/>
      <c r="F11" s="86" t="n"/>
      <c r="G11" s="86" t="inlineStr">
        <is>
          <t>公</t>
        </is>
      </c>
      <c r="H11" s="86" t="inlineStr">
        <is>
          <t>中區國稅沙鹿務字第109045647號</t>
        </is>
      </c>
      <c r="I11" s="86" t="inlineStr">
        <is>
          <t>張馨文</t>
        </is>
      </c>
    </row>
    <row r="12" ht="16.8" customHeight="1" s="181" thickBot="1">
      <c r="A12" s="160" t="inlineStr">
        <is>
          <t>合計</t>
        </is>
      </c>
      <c r="B12" s="86" t="n"/>
      <c r="C12" s="86" t="n"/>
      <c r="D12" s="86" t="n"/>
      <c r="E12" s="86" t="n"/>
      <c r="F12" s="86" t="n"/>
      <c r="G12" s="86" t="n"/>
      <c r="H12" s="86" t="n"/>
      <c r="I12" s="86" t="n"/>
    </row>
    <row r="13">
      <c r="A13" s="101" t="n"/>
    </row>
    <row r="14" ht="19.8" customHeight="1" s="181">
      <c r="A14" s="154" t="inlineStr">
        <is>
          <t>教務組長                  教務主任                  校長</t>
        </is>
      </c>
    </row>
    <row r="15">
      <c r="A15" s="101" t="n"/>
    </row>
    <row r="16" ht="24" customHeight="1" s="181" thickBot="1">
      <c r="A16" s="76" t="inlineStr">
        <is>
          <t>馬鳴國小代課費領款計算表(109/12/01至109/12/23)</t>
        </is>
      </c>
    </row>
    <row r="17" ht="33" customHeight="1" s="181" thickBot="1">
      <c r="A17" s="88" t="inlineStr">
        <is>
          <t>代課教師</t>
        </is>
      </c>
      <c r="B17" s="89" t="inlineStr">
        <is>
          <t>公假</t>
        </is>
      </c>
      <c r="C17" s="89" t="inlineStr">
        <is>
          <t>合計全日</t>
        </is>
      </c>
      <c r="D17" s="89" t="inlineStr">
        <is>
          <t>合計鐘點</t>
        </is>
      </c>
      <c r="E17" s="89" t="inlineStr">
        <is>
          <t>金額合計</t>
        </is>
      </c>
      <c r="F17" s="89" t="inlineStr">
        <is>
          <t>備註</t>
        </is>
      </c>
    </row>
    <row r="18">
      <c r="A18" s="88" t="inlineStr">
        <is>
          <t>黃加淳</t>
        </is>
      </c>
      <c r="B18" s="88" t="inlineStr">
        <is>
          <t>1日</t>
        </is>
      </c>
      <c r="C18" s="88" t="inlineStr">
        <is>
          <t>1日</t>
        </is>
      </c>
      <c r="D18" s="88" t="n"/>
      <c r="E18" s="88" t="n"/>
      <c r="F18" s="90" t="inlineStr">
        <is>
          <t>大學畢</t>
        </is>
      </c>
    </row>
    <row r="19" ht="33" customHeight="1" s="181" thickBot="1">
      <c r="A19" s="190" t="n"/>
      <c r="B19" s="190" t="n"/>
      <c r="C19" s="190" t="n"/>
      <c r="D19" s="190" t="n"/>
      <c r="E19" s="190" t="n"/>
      <c r="F19" s="86" t="inlineStr">
        <is>
          <t>無教師證</t>
        </is>
      </c>
    </row>
    <row r="20">
      <c r="A20" s="88" t="inlineStr">
        <is>
          <t>李君珮</t>
        </is>
      </c>
      <c r="B20" s="88" t="inlineStr">
        <is>
          <t>1日</t>
        </is>
      </c>
      <c r="C20" s="88" t="inlineStr">
        <is>
          <t>1日</t>
        </is>
      </c>
      <c r="D20" s="88" t="n"/>
      <c r="E20" s="88" t="n"/>
      <c r="F20" s="90" t="inlineStr">
        <is>
          <t>大學畢</t>
        </is>
      </c>
    </row>
    <row r="21" ht="33" customHeight="1" s="181" thickBot="1">
      <c r="A21" s="190" t="n"/>
      <c r="B21" s="190" t="n"/>
      <c r="C21" s="190" t="n"/>
      <c r="D21" s="190" t="n"/>
      <c r="E21" s="190" t="n"/>
      <c r="F21" s="86" t="inlineStr">
        <is>
          <t>無教師證</t>
        </is>
      </c>
    </row>
    <row r="22" ht="16.8" customHeight="1" s="181" thickBot="1">
      <c r="A22" s="160" t="inlineStr">
        <is>
          <t>朱從瑞</t>
        </is>
      </c>
      <c r="B22" s="86" t="n"/>
      <c r="C22" s="86" t="n"/>
      <c r="D22" s="86" t="inlineStr">
        <is>
          <t>4節</t>
        </is>
      </c>
      <c r="E22" s="86" t="n"/>
      <c r="F22" s="86" t="n"/>
    </row>
    <row r="23" ht="16.8" customHeight="1" s="181" thickBot="1">
      <c r="A23" s="160" t="inlineStr">
        <is>
          <t>李瑜華</t>
        </is>
      </c>
      <c r="B23" s="86" t="n"/>
      <c r="C23" s="86" t="n"/>
      <c r="D23" s="86" t="inlineStr">
        <is>
          <t>1節</t>
        </is>
      </c>
      <c r="E23" s="86" t="n"/>
      <c r="F23" s="86" t="n"/>
    </row>
    <row r="24" ht="16.8" customHeight="1" s="181" thickBot="1">
      <c r="A24" s="160" t="inlineStr">
        <is>
          <t>楊婉瑄</t>
        </is>
      </c>
      <c r="B24" s="86" t="n"/>
      <c r="C24" s="86" t="n"/>
      <c r="D24" s="86" t="inlineStr">
        <is>
          <t>1節</t>
        </is>
      </c>
      <c r="E24" s="86" t="n"/>
      <c r="F24" s="86" t="n"/>
    </row>
    <row r="25" ht="33" customHeight="1" s="181" thickBot="1">
      <c r="A25" s="160" t="inlineStr">
        <is>
          <t>張馨文</t>
        </is>
      </c>
      <c r="B25" s="86" t="inlineStr">
        <is>
          <t>0.5日</t>
        </is>
      </c>
      <c r="C25" s="86" t="inlineStr">
        <is>
          <t>0.5日(含導)</t>
        </is>
      </c>
      <c r="D25" s="86" t="inlineStr">
        <is>
          <t>1節</t>
        </is>
      </c>
      <c r="E25" s="86" t="n"/>
      <c r="F25" s="86" t="n"/>
    </row>
    <row r="26" ht="16.8" customHeight="1" s="181" thickBot="1">
      <c r="A26" s="160" t="inlineStr">
        <is>
          <t>合計</t>
        </is>
      </c>
      <c r="B26" s="86" t="n"/>
      <c r="C26" s="86" t="n"/>
      <c r="D26" s="86" t="n"/>
      <c r="E26" s="86" t="n"/>
      <c r="F26" s="86" t="n"/>
    </row>
    <row r="27" ht="19.8" customHeight="1" s="181">
      <c r="A27" s="93" t="inlineStr">
        <is>
          <t>教務組長                  教務主任                  校長</t>
        </is>
      </c>
      <c r="B27" s="93" t="n"/>
      <c r="C27" s="93" t="n"/>
      <c r="D27" s="93" t="n"/>
      <c r="E27" s="93" t="n"/>
      <c r="F27" s="93" t="n"/>
      <c r="G27" s="93" t="n"/>
    </row>
  </sheetData>
  <mergeCells count="20">
    <mergeCell ref="B18:B19"/>
    <mergeCell ref="C20:C21"/>
    <mergeCell ref="E20:E21"/>
    <mergeCell ref="B2:B3"/>
    <mergeCell ref="D2:D3"/>
    <mergeCell ref="F2:F3"/>
    <mergeCell ref="H2:H3"/>
    <mergeCell ref="A14:I14"/>
    <mergeCell ref="A2:A3"/>
    <mergeCell ref="C2:C3"/>
    <mergeCell ref="A18:A19"/>
    <mergeCell ref="E2:E3"/>
    <mergeCell ref="D18:D19"/>
    <mergeCell ref="A20:A21"/>
    <mergeCell ref="B20:B21"/>
    <mergeCell ref="D20:D21"/>
    <mergeCell ref="E18:E19"/>
    <mergeCell ref="A1:I1"/>
    <mergeCell ref="C18:C19"/>
    <mergeCell ref="G2:G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:I19"/>
    </sheetView>
  </sheetViews>
  <sheetFormatPr baseColWidth="8" defaultRowHeight="16.2"/>
  <cols>
    <col width="10.44140625" bestFit="1" customWidth="1" style="181" min="2" max="2"/>
  </cols>
  <sheetData>
    <row r="1" ht="24" customHeight="1" s="181" thickBot="1">
      <c r="A1" s="153" t="inlineStr">
        <is>
          <t>代課一覽表(109/12/25至110/01/20)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39" customHeight="1" s="181">
      <c r="A2" s="67" t="inlineStr">
        <is>
          <t>教師姓名</t>
        </is>
      </c>
      <c r="B2" s="67" t="inlineStr">
        <is>
          <t>日期</t>
        </is>
      </c>
      <c r="C2" s="67" t="inlineStr">
        <is>
          <t>星期</t>
        </is>
      </c>
      <c r="D2" s="67" t="inlineStr">
        <is>
          <t>日數/鐘點</t>
        </is>
      </c>
      <c r="E2" s="67" t="inlineStr">
        <is>
          <t>節次</t>
        </is>
      </c>
      <c r="F2" s="67" t="inlineStr">
        <is>
          <t>節數</t>
        </is>
      </c>
      <c r="G2" s="67" t="inlineStr">
        <is>
          <t>假別</t>
        </is>
      </c>
      <c r="H2" s="67" t="inlineStr">
        <is>
          <t>備註(文號）</t>
        </is>
      </c>
      <c r="I2" s="83" t="inlineStr">
        <is>
          <t>代課</t>
        </is>
      </c>
    </row>
    <row r="3" ht="20.4" customHeight="1" s="181" thickBot="1">
      <c r="A3" s="190" t="n"/>
      <c r="B3" s="190" t="n"/>
      <c r="C3" s="190" t="n"/>
      <c r="D3" s="190" t="n"/>
      <c r="E3" s="190" t="n"/>
      <c r="F3" s="190" t="n"/>
      <c r="G3" s="190" t="n"/>
      <c r="H3" s="190" t="n"/>
      <c r="I3" s="71" t="inlineStr">
        <is>
          <t>教師</t>
        </is>
      </c>
    </row>
    <row r="4" ht="65.40000000000001" customHeight="1" s="181" thickBot="1">
      <c r="A4" s="160" t="inlineStr">
        <is>
          <t>魏瑋婷</t>
        </is>
      </c>
      <c r="B4" s="191" t="n">
        <v>44555</v>
      </c>
      <c r="C4" s="86" t="inlineStr">
        <is>
          <t>五</t>
        </is>
      </c>
      <c r="D4" s="86" t="inlineStr">
        <is>
          <t>1日</t>
        </is>
      </c>
      <c r="E4" s="86" t="n"/>
      <c r="F4" s="86" t="n"/>
      <c r="G4" s="86" t="inlineStr">
        <is>
          <t>公</t>
        </is>
      </c>
      <c r="H4" s="91" t="inlineStr">
        <is>
          <t>中市教課字第1090108880號</t>
        </is>
      </c>
      <c r="I4" s="86" t="inlineStr">
        <is>
          <t>王慈慧</t>
        </is>
      </c>
    </row>
    <row r="5" ht="65.40000000000001" customHeight="1" s="181" thickBot="1">
      <c r="A5" s="160" t="inlineStr">
        <is>
          <t>魏瑋婷</t>
        </is>
      </c>
      <c r="B5" s="191" t="n">
        <v>44202</v>
      </c>
      <c r="C5" s="86" t="inlineStr">
        <is>
          <t>三</t>
        </is>
      </c>
      <c r="D5" s="86" t="inlineStr">
        <is>
          <t>1日</t>
        </is>
      </c>
      <c r="E5" s="86" t="n"/>
      <c r="F5" s="86" t="n"/>
      <c r="G5" s="86" t="inlineStr">
        <is>
          <t>公</t>
        </is>
      </c>
      <c r="H5" s="91" t="inlineStr">
        <is>
          <t>中市教課字第1090108880號</t>
        </is>
      </c>
      <c r="I5" s="86" t="inlineStr">
        <is>
          <t>李加淳</t>
        </is>
      </c>
    </row>
    <row r="6" ht="65.40000000000001" customHeight="1" s="181" thickBot="1">
      <c r="A6" s="160" t="inlineStr">
        <is>
          <t>張馨文</t>
        </is>
      </c>
      <c r="B6" s="191" t="n">
        <v>44214</v>
      </c>
      <c r="C6" s="86" t="inlineStr">
        <is>
          <t>一</t>
        </is>
      </c>
      <c r="D6" s="86" t="n"/>
      <c r="E6" s="86" t="n"/>
      <c r="F6" s="86" t="n">
        <v>1</v>
      </c>
      <c r="G6" s="86" t="inlineStr">
        <is>
          <t>公</t>
        </is>
      </c>
      <c r="H6" s="91" t="inlineStr">
        <is>
          <t>中市教小字第1100002298號</t>
        </is>
      </c>
      <c r="I6" s="86" t="inlineStr">
        <is>
          <t>楊燕青</t>
        </is>
      </c>
    </row>
    <row r="7" ht="16.8" customHeight="1" s="181" thickBot="1">
      <c r="A7" s="160" t="inlineStr">
        <is>
          <t>合計</t>
        </is>
      </c>
      <c r="B7" s="86" t="n"/>
      <c r="C7" s="86" t="n"/>
      <c r="D7" s="86" t="n"/>
      <c r="E7" s="86" t="n"/>
      <c r="F7" s="86" t="n"/>
      <c r="G7" s="86" t="n"/>
      <c r="H7" s="86" t="n"/>
      <c r="I7" s="86" t="n"/>
    </row>
    <row r="8">
      <c r="A8" s="101" t="n"/>
    </row>
    <row r="9" ht="19.8" customHeight="1" s="181">
      <c r="A9" s="154" t="inlineStr">
        <is>
          <t>教務組長                  教務主任                  校長</t>
        </is>
      </c>
    </row>
    <row r="10">
      <c r="A10" s="101" t="n"/>
    </row>
    <row r="11">
      <c r="A11" s="101" t="n"/>
    </row>
    <row r="12">
      <c r="A12" s="101" t="n"/>
    </row>
    <row r="13" ht="24" customHeight="1" s="181" thickBot="1">
      <c r="A13" s="66" t="inlineStr">
        <is>
          <t>馬鳴國小代課費領款計算表(109/12/25至110/01/20)</t>
        </is>
      </c>
    </row>
    <row r="14" ht="33" customHeight="1" s="181" thickBot="1">
      <c r="A14" s="88" t="inlineStr">
        <is>
          <t>代課教師</t>
        </is>
      </c>
      <c r="B14" s="89" t="inlineStr">
        <is>
          <t>公假</t>
        </is>
      </c>
      <c r="C14" s="89" t="inlineStr">
        <is>
          <t>合計全日</t>
        </is>
      </c>
      <c r="D14" s="89" t="inlineStr">
        <is>
          <t>合計鐘點</t>
        </is>
      </c>
      <c r="E14" s="89" t="inlineStr">
        <is>
          <t>金額合計</t>
        </is>
      </c>
      <c r="F14" s="89" t="inlineStr">
        <is>
          <t>備註</t>
        </is>
      </c>
    </row>
    <row r="15">
      <c r="A15" s="88" t="inlineStr">
        <is>
          <t>王慈慧</t>
        </is>
      </c>
      <c r="B15" s="88" t="inlineStr">
        <is>
          <t>1日</t>
        </is>
      </c>
      <c r="C15" s="88" t="inlineStr">
        <is>
          <t>1日</t>
        </is>
      </c>
      <c r="D15" s="88" t="n"/>
      <c r="E15" s="88" t="n"/>
      <c r="F15" s="90" t="inlineStr">
        <is>
          <t>大學畢</t>
        </is>
      </c>
    </row>
    <row r="16" ht="33" customHeight="1" s="181" thickBot="1">
      <c r="A16" s="190" t="n"/>
      <c r="B16" s="190" t="n"/>
      <c r="C16" s="190" t="n"/>
      <c r="D16" s="190" t="n"/>
      <c r="E16" s="190" t="n"/>
      <c r="F16" s="86" t="inlineStr">
        <is>
          <t>無教師證</t>
        </is>
      </c>
    </row>
    <row r="17">
      <c r="A17" s="88" t="inlineStr">
        <is>
          <t>黃加淳</t>
        </is>
      </c>
      <c r="B17" s="88" t="inlineStr">
        <is>
          <t>1日</t>
        </is>
      </c>
      <c r="C17" s="88" t="inlineStr">
        <is>
          <t>1日</t>
        </is>
      </c>
      <c r="D17" s="88" t="n"/>
      <c r="E17" s="88" t="n"/>
      <c r="F17" s="90" t="inlineStr">
        <is>
          <t>大學畢</t>
        </is>
      </c>
    </row>
    <row r="18" ht="33" customHeight="1" s="181" thickBot="1">
      <c r="A18" s="190" t="n"/>
      <c r="B18" s="190" t="n"/>
      <c r="C18" s="190" t="n"/>
      <c r="D18" s="190" t="n"/>
      <c r="E18" s="190" t="n"/>
      <c r="F18" s="86" t="inlineStr">
        <is>
          <t>無教師證</t>
        </is>
      </c>
    </row>
    <row r="19" ht="16.8" customHeight="1" s="181" thickBot="1">
      <c r="A19" s="160" t="inlineStr">
        <is>
          <t>楊燕青</t>
        </is>
      </c>
      <c r="B19" s="86" t="n"/>
      <c r="C19" s="86" t="n"/>
      <c r="D19" s="86" t="inlineStr">
        <is>
          <t>1節</t>
        </is>
      </c>
      <c r="E19" s="86" t="n"/>
      <c r="F19" s="86" t="n"/>
    </row>
    <row r="20" ht="16.8" customHeight="1" s="181" thickBot="1">
      <c r="A20" s="160" t="inlineStr">
        <is>
          <t>合計</t>
        </is>
      </c>
      <c r="B20" s="86" t="n"/>
      <c r="C20" s="86" t="n"/>
      <c r="D20" s="86" t="n"/>
      <c r="E20" s="86" t="n"/>
      <c r="F20" s="86" t="n"/>
    </row>
    <row r="21" ht="19.8" customHeight="1" s="181">
      <c r="A21" s="92" t="inlineStr">
        <is>
          <t>教務組長                  教務主任                  校長</t>
        </is>
      </c>
      <c r="B21" s="92" t="n"/>
      <c r="C21" s="92" t="n"/>
      <c r="D21" s="92" t="n"/>
      <c r="E21" s="92" t="n"/>
      <c r="F21" s="92" t="n"/>
    </row>
    <row r="22" ht="19.8" customHeight="1" s="181">
      <c r="A22" s="154" t="n"/>
    </row>
  </sheetData>
  <mergeCells count="20">
    <mergeCell ref="E17:E18"/>
    <mergeCell ref="B17:B18"/>
    <mergeCell ref="D17:D18"/>
    <mergeCell ref="B2:B3"/>
    <mergeCell ref="D2:D3"/>
    <mergeCell ref="F2:F3"/>
    <mergeCell ref="H2:H3"/>
    <mergeCell ref="E15:E16"/>
    <mergeCell ref="A2:A3"/>
    <mergeCell ref="C2:C3"/>
    <mergeCell ref="E2:E3"/>
    <mergeCell ref="B15:B16"/>
    <mergeCell ref="D15:D16"/>
    <mergeCell ref="A17:A18"/>
    <mergeCell ref="C17:C18"/>
    <mergeCell ref="A9:I9"/>
    <mergeCell ref="A1:I1"/>
    <mergeCell ref="A15:A16"/>
    <mergeCell ref="C15:C16"/>
    <mergeCell ref="G2:G3"/>
  </mergeCells>
  <pageMargins left="0.7" right="0.7" top="0.75" bottom="0.75" header="0.3" footer="0.3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:I19"/>
    </sheetView>
  </sheetViews>
  <sheetFormatPr baseColWidth="8" defaultRowHeight="16.2"/>
  <sheetData>
    <row r="1" ht="24" customHeight="1" s="181" thickBot="1">
      <c r="A1" s="153" t="inlineStr">
        <is>
          <t>代課一覽表(110/03/01至110/03/31)</t>
        </is>
      </c>
      <c r="B1" s="182" t="n"/>
      <c r="C1" s="182" t="n"/>
      <c r="D1" s="182" t="n"/>
      <c r="E1" s="182" t="n"/>
      <c r="F1" s="182" t="n"/>
      <c r="G1" s="182" t="n"/>
      <c r="H1" s="182" t="n"/>
      <c r="I1" s="182" t="n"/>
    </row>
    <row r="2" ht="39" customHeight="1" s="181">
      <c r="A2" s="67" t="inlineStr">
        <is>
          <t>教師姓名</t>
        </is>
      </c>
      <c r="B2" s="67" t="inlineStr">
        <is>
          <t>日期</t>
        </is>
      </c>
      <c r="C2" s="67" t="inlineStr">
        <is>
          <t>星期</t>
        </is>
      </c>
      <c r="D2" s="67" t="inlineStr">
        <is>
          <t>日數/鐘點</t>
        </is>
      </c>
      <c r="E2" s="67" t="inlineStr">
        <is>
          <t>節次</t>
        </is>
      </c>
      <c r="F2" s="67" t="inlineStr">
        <is>
          <t>節數</t>
        </is>
      </c>
      <c r="G2" s="67" t="inlineStr">
        <is>
          <t>假別</t>
        </is>
      </c>
      <c r="H2" s="67" t="inlineStr">
        <is>
          <t>備註(文號）</t>
        </is>
      </c>
      <c r="I2" s="83" t="inlineStr">
        <is>
          <t>代課</t>
        </is>
      </c>
    </row>
    <row r="3" ht="20.4" customHeight="1" s="181" thickBot="1">
      <c r="A3" s="190" t="n"/>
      <c r="B3" s="190" t="n"/>
      <c r="C3" s="190" t="n"/>
      <c r="D3" s="190" t="n"/>
      <c r="E3" s="190" t="n"/>
      <c r="F3" s="190" t="n"/>
      <c r="G3" s="190" t="n"/>
      <c r="H3" s="190" t="n"/>
      <c r="I3" s="71" t="inlineStr">
        <is>
          <t>教師</t>
        </is>
      </c>
    </row>
    <row r="4" ht="65.40000000000001" customHeight="1" s="181" thickBot="1">
      <c r="A4" s="160" t="inlineStr">
        <is>
          <t>楊婉瑄</t>
        </is>
      </c>
      <c r="B4" s="191" t="n">
        <v>44271</v>
      </c>
      <c r="C4" s="86" t="inlineStr">
        <is>
          <t>二</t>
        </is>
      </c>
      <c r="D4" s="86" t="inlineStr">
        <is>
          <t>1日</t>
        </is>
      </c>
      <c r="E4" s="86" t="n"/>
      <c r="F4" s="86" t="n"/>
      <c r="G4" s="86" t="inlineStr">
        <is>
          <t>公</t>
        </is>
      </c>
      <c r="H4" s="91" t="inlineStr">
        <is>
          <t>中市特教字第1100008685號</t>
        </is>
      </c>
      <c r="I4" s="86" t="inlineStr">
        <is>
          <t>黃加淳</t>
        </is>
      </c>
    </row>
    <row r="5" ht="65.40000000000001" customHeight="1" s="181" thickBot="1">
      <c r="A5" s="160" t="inlineStr">
        <is>
          <t>紀乃綺</t>
        </is>
      </c>
      <c r="B5" s="191" t="n">
        <v>44281</v>
      </c>
      <c r="C5" s="86" t="inlineStr">
        <is>
          <t>五</t>
        </is>
      </c>
      <c r="D5" s="86" t="n"/>
      <c r="E5" s="86" t="n"/>
      <c r="F5" s="86" t="n">
        <v>1</v>
      </c>
      <c r="G5" s="86" t="inlineStr">
        <is>
          <t>公</t>
        </is>
      </c>
      <c r="H5" s="91" t="inlineStr">
        <is>
          <t>中市教中字第1100012852號</t>
        </is>
      </c>
      <c r="I5" s="86" t="inlineStr">
        <is>
          <t>李君珮</t>
        </is>
      </c>
    </row>
    <row r="6" ht="16.8" customHeight="1" s="181" thickBot="1">
      <c r="A6" s="160" t="inlineStr">
        <is>
          <t>楊燕青</t>
        </is>
      </c>
      <c r="B6" s="191" t="n">
        <v>44281</v>
      </c>
      <c r="C6" s="86" t="inlineStr">
        <is>
          <t>五</t>
        </is>
      </c>
      <c r="D6" s="86" t="n"/>
      <c r="E6" s="86" t="inlineStr">
        <is>
          <t>一</t>
        </is>
      </c>
      <c r="F6" s="86" t="n">
        <v>1</v>
      </c>
      <c r="G6" s="86" t="inlineStr">
        <is>
          <t>流產假</t>
        </is>
      </c>
      <c r="H6" s="86" t="n"/>
      <c r="I6" s="86" t="inlineStr">
        <is>
          <t>魏瑋婷</t>
        </is>
      </c>
    </row>
    <row r="7" ht="16.8" customHeight="1" s="181" thickBot="1">
      <c r="A7" s="160" t="inlineStr">
        <is>
          <t>楊燕青</t>
        </is>
      </c>
      <c r="B7" s="191" t="n">
        <v>44281</v>
      </c>
      <c r="C7" s="86" t="inlineStr">
        <is>
          <t>五</t>
        </is>
      </c>
      <c r="D7" s="86" t="n"/>
      <c r="E7" s="86" t="inlineStr">
        <is>
          <t>四</t>
        </is>
      </c>
      <c r="F7" s="86" t="n">
        <v>1</v>
      </c>
      <c r="G7" s="86" t="inlineStr">
        <is>
          <t>流產假</t>
        </is>
      </c>
      <c r="H7" s="86" t="n"/>
      <c r="I7" s="86" t="inlineStr">
        <is>
          <t>戴綿綿</t>
        </is>
      </c>
    </row>
    <row r="8" ht="16.8" customHeight="1" s="181" thickBot="1">
      <c r="A8" s="160" t="inlineStr">
        <is>
          <t>楊燕青</t>
        </is>
      </c>
      <c r="B8" s="191" t="n">
        <v>44281</v>
      </c>
      <c r="C8" s="86" t="inlineStr">
        <is>
          <t>五</t>
        </is>
      </c>
      <c r="D8" s="86" t="n"/>
      <c r="E8" s="86" t="inlineStr">
        <is>
          <t>導師費</t>
        </is>
      </c>
      <c r="F8" s="86" t="n"/>
      <c r="G8" s="86" t="inlineStr">
        <is>
          <t>流產假</t>
        </is>
      </c>
      <c r="H8" s="86" t="n"/>
      <c r="I8" s="86" t="inlineStr">
        <is>
          <t>張馨文</t>
        </is>
      </c>
    </row>
    <row r="9" ht="16.8" customHeight="1" s="181" thickBot="1">
      <c r="A9" s="160" t="inlineStr">
        <is>
          <t>楊燕青</t>
        </is>
      </c>
      <c r="B9" s="191" t="n">
        <v>44284</v>
      </c>
      <c r="C9" s="86" t="inlineStr">
        <is>
          <t>一</t>
        </is>
      </c>
      <c r="D9" s="86" t="inlineStr">
        <is>
          <t>1日</t>
        </is>
      </c>
      <c r="E9" s="86" t="n"/>
      <c r="F9" s="86" t="n"/>
      <c r="G9" s="86" t="inlineStr">
        <is>
          <t>流產假</t>
        </is>
      </c>
      <c r="H9" s="86" t="n"/>
      <c r="I9" s="86" t="inlineStr">
        <is>
          <t>黃加淳</t>
        </is>
      </c>
    </row>
    <row r="10" ht="16.8" customHeight="1" s="181" thickBot="1">
      <c r="A10" s="160" t="inlineStr">
        <is>
          <t>楊燕青</t>
        </is>
      </c>
      <c r="B10" s="191" t="n">
        <v>44285</v>
      </c>
      <c r="C10" s="86" t="inlineStr">
        <is>
          <t>二</t>
        </is>
      </c>
      <c r="D10" s="86" t="inlineStr">
        <is>
          <t>1日</t>
        </is>
      </c>
      <c r="E10" s="86" t="n"/>
      <c r="F10" s="86" t="n"/>
      <c r="G10" s="86" t="inlineStr">
        <is>
          <t>流產假</t>
        </is>
      </c>
      <c r="H10" s="86" t="n"/>
      <c r="I10" s="86" t="inlineStr">
        <is>
          <t>黃加淳</t>
        </is>
      </c>
    </row>
    <row r="11">
      <c r="A11" s="88" t="inlineStr">
        <is>
          <t>楊燕青</t>
        </is>
      </c>
      <c r="B11" s="192" t="n">
        <v>44286</v>
      </c>
      <c r="C11" s="88" t="inlineStr">
        <is>
          <t>三</t>
        </is>
      </c>
      <c r="D11" s="88" t="inlineStr">
        <is>
          <t>0.5日</t>
        </is>
      </c>
      <c r="E11" s="88" t="n"/>
      <c r="F11" s="90" t="n">
        <v>3</v>
      </c>
      <c r="G11" s="88" t="inlineStr">
        <is>
          <t>流產假</t>
        </is>
      </c>
      <c r="H11" s="88" t="n"/>
      <c r="I11" s="88" t="inlineStr">
        <is>
          <t>張馨文</t>
        </is>
      </c>
    </row>
    <row r="12" ht="33" customHeight="1" s="181" thickBot="1">
      <c r="A12" s="190" t="n"/>
      <c r="B12" s="190" t="n"/>
      <c r="C12" s="190" t="n"/>
      <c r="D12" s="190" t="n"/>
      <c r="E12" s="190" t="n"/>
      <c r="F12" s="86" t="inlineStr">
        <is>
          <t>(含導師費)</t>
        </is>
      </c>
      <c r="G12" s="190" t="n"/>
      <c r="H12" s="190" t="n"/>
      <c r="I12" s="190" t="n"/>
    </row>
    <row r="13" ht="16.8" customHeight="1" s="181" thickBot="1">
      <c r="A13" s="160" t="inlineStr">
        <is>
          <t>合計</t>
        </is>
      </c>
      <c r="B13" s="86" t="n"/>
      <c r="C13" s="86" t="n"/>
      <c r="D13" s="86" t="n"/>
      <c r="E13" s="86" t="n"/>
      <c r="F13" s="86" t="n"/>
      <c r="G13" s="86" t="n"/>
      <c r="H13" s="86" t="n"/>
      <c r="I13" s="86" t="n"/>
    </row>
    <row r="14">
      <c r="A14" s="101" t="n"/>
    </row>
    <row r="15" ht="19.8" customHeight="1" s="181">
      <c r="A15" s="161" t="inlineStr">
        <is>
          <t>教務組長                  教務主任                  校長</t>
        </is>
      </c>
    </row>
    <row r="16">
      <c r="A16" s="101" t="n"/>
    </row>
    <row r="17">
      <c r="A17" s="101" t="n"/>
    </row>
    <row r="18" ht="24" customHeight="1" s="181" thickBot="1">
      <c r="A18" s="101" t="inlineStr">
        <is>
          <t xml:space="preserve"> 馬鳴國小代課費領款計算表(110/03/01至110/03/31)</t>
        </is>
      </c>
    </row>
    <row r="19" ht="33" customHeight="1" s="181" thickBot="1">
      <c r="A19" s="88" t="inlineStr">
        <is>
          <t>代課教師</t>
        </is>
      </c>
      <c r="B19" s="89" t="inlineStr">
        <is>
          <t>公假</t>
        </is>
      </c>
      <c r="C19" s="89" t="inlineStr">
        <is>
          <t>合計全日</t>
        </is>
      </c>
      <c r="D19" s="89" t="inlineStr">
        <is>
          <t>合計鐘點</t>
        </is>
      </c>
      <c r="E19" s="89" t="inlineStr">
        <is>
          <t>金額合計</t>
        </is>
      </c>
      <c r="F19" s="89" t="inlineStr">
        <is>
          <t>備註</t>
        </is>
      </c>
    </row>
    <row r="20">
      <c r="A20" s="88" t="inlineStr">
        <is>
          <t>李君珮</t>
        </is>
      </c>
      <c r="B20" s="88" t="n"/>
      <c r="C20" s="88" t="n"/>
      <c r="D20" s="88" t="inlineStr">
        <is>
          <t>1節</t>
        </is>
      </c>
      <c r="E20" s="88" t="n"/>
      <c r="F20" s="90" t="inlineStr">
        <is>
          <t>大學畢</t>
        </is>
      </c>
    </row>
    <row r="21" ht="33" customHeight="1" s="181" thickBot="1">
      <c r="A21" s="190" t="n"/>
      <c r="B21" s="190" t="n"/>
      <c r="C21" s="190" t="n"/>
      <c r="D21" s="190" t="n"/>
      <c r="E21" s="190" t="n"/>
      <c r="F21" s="86" t="inlineStr">
        <is>
          <t>無教師證</t>
        </is>
      </c>
    </row>
    <row r="22">
      <c r="A22" s="88" t="inlineStr">
        <is>
          <t>黃加淳</t>
        </is>
      </c>
      <c r="B22" s="88" t="inlineStr">
        <is>
          <t>3日</t>
        </is>
      </c>
      <c r="C22" s="88" t="n"/>
      <c r="D22" s="88" t="n"/>
      <c r="E22" s="88" t="n"/>
      <c r="F22" s="90" t="inlineStr">
        <is>
          <t>大學畢</t>
        </is>
      </c>
    </row>
    <row r="23" ht="33" customHeight="1" s="181" thickBot="1">
      <c r="A23" s="190" t="n"/>
      <c r="B23" s="190" t="n"/>
      <c r="C23" s="190" t="n"/>
      <c r="D23" s="190" t="n"/>
      <c r="E23" s="190" t="n"/>
      <c r="F23" s="86" t="inlineStr">
        <is>
          <t>無教師證</t>
        </is>
      </c>
    </row>
    <row r="24" ht="16.8" customHeight="1" s="181" thickBot="1">
      <c r="A24" s="160" t="inlineStr">
        <is>
          <t>魏瑋婷</t>
        </is>
      </c>
      <c r="B24" s="86" t="n"/>
      <c r="C24" s="86" t="n"/>
      <c r="D24" s="86" t="inlineStr">
        <is>
          <t>1節</t>
        </is>
      </c>
      <c r="E24" s="86" t="n"/>
      <c r="F24" s="86" t="n"/>
    </row>
    <row r="25" ht="16.8" customHeight="1" s="181" thickBot="1">
      <c r="A25" s="160" t="inlineStr">
        <is>
          <t>戴綿綿</t>
        </is>
      </c>
      <c r="B25" s="86" t="n"/>
      <c r="C25" s="86" t="n"/>
      <c r="D25" s="86" t="inlineStr">
        <is>
          <t>1節</t>
        </is>
      </c>
      <c r="E25" s="86" t="n"/>
      <c r="F25" s="86" t="n"/>
    </row>
    <row r="26" ht="33" customHeight="1" s="181" thickBot="1">
      <c r="A26" s="160" t="inlineStr">
        <is>
          <t>張馨文</t>
        </is>
      </c>
      <c r="B26" s="86" t="n"/>
      <c r="C26" s="86" t="n"/>
      <c r="D26" s="86" t="inlineStr">
        <is>
          <t>3節(含導師費)</t>
        </is>
      </c>
      <c r="E26" s="86" t="n"/>
      <c r="F26" s="86" t="n"/>
    </row>
    <row r="27" ht="16.8" customHeight="1" s="181" thickBot="1">
      <c r="A27" s="160" t="inlineStr">
        <is>
          <t>合計</t>
        </is>
      </c>
      <c r="B27" s="86" t="inlineStr">
        <is>
          <t>3日</t>
        </is>
      </c>
      <c r="C27" s="86" t="n"/>
      <c r="D27" s="86" t="inlineStr">
        <is>
          <t>6節</t>
        </is>
      </c>
      <c r="E27" s="86" t="n"/>
      <c r="F27" s="86" t="n"/>
    </row>
    <row r="28" ht="19.8" customHeight="1" s="181">
      <c r="A28" s="161" t="inlineStr">
        <is>
          <t>教務組長       教務主任            校長</t>
        </is>
      </c>
    </row>
  </sheetData>
  <mergeCells count="29">
    <mergeCell ref="C20:C21"/>
    <mergeCell ref="E20:E21"/>
    <mergeCell ref="B11:B12"/>
    <mergeCell ref="B2:B3"/>
    <mergeCell ref="D11:D12"/>
    <mergeCell ref="D2:D3"/>
    <mergeCell ref="F2:F3"/>
    <mergeCell ref="H11:H12"/>
    <mergeCell ref="H2:H3"/>
    <mergeCell ref="C22:C23"/>
    <mergeCell ref="C11:C12"/>
    <mergeCell ref="A2:A3"/>
    <mergeCell ref="C2:C3"/>
    <mergeCell ref="E11:E12"/>
    <mergeCell ref="E2:E3"/>
    <mergeCell ref="A22:A23"/>
    <mergeCell ref="A20:A21"/>
    <mergeCell ref="B20:B21"/>
    <mergeCell ref="D20:D21"/>
    <mergeCell ref="A15:I15"/>
    <mergeCell ref="B22:B23"/>
    <mergeCell ref="E22:E23"/>
    <mergeCell ref="A28:H28"/>
    <mergeCell ref="A1:I1"/>
    <mergeCell ref="G11:G12"/>
    <mergeCell ref="I11:I12"/>
    <mergeCell ref="A11:A12"/>
    <mergeCell ref="G2:G3"/>
    <mergeCell ref="D22:D2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FF0000"/>
    <outlinePr summaryBelow="1" summaryRight="1"/>
    <pageSetUpPr/>
  </sheetPr>
  <dimension ref="A1:N15"/>
  <sheetViews>
    <sheetView tabSelected="1" zoomScaleNormal="100" workbookViewId="0">
      <selection activeCell="C12" sqref="C12"/>
    </sheetView>
  </sheetViews>
  <sheetFormatPr baseColWidth="8" defaultRowHeight="16.2"/>
  <cols>
    <col width="4.77734375" customWidth="1" style="181" min="2" max="2"/>
    <col width="7.109375" customWidth="1" style="181" min="3" max="3"/>
    <col width="7.6640625" customWidth="1" style="181" min="4" max="4"/>
    <col width="5.6640625" customWidth="1" style="181" min="5" max="6"/>
    <col width="7" customWidth="1" style="181" min="7" max="8"/>
    <col width="7.77734375" customWidth="1" style="181" min="9" max="9"/>
    <col width="5.77734375" customWidth="1" style="181" min="10" max="10"/>
    <col width="4.6640625" customWidth="1" style="181" min="11" max="11"/>
    <col width="5.109375" customWidth="1" style="181" min="12" max="12"/>
    <col width="7.33203125" customWidth="1" style="181" min="13" max="13"/>
    <col width="10.44140625" customWidth="1" style="181" min="14" max="14"/>
  </cols>
  <sheetData>
    <row r="1" ht="19.8" customHeight="1" s="181">
      <c r="A1" s="166" t="inlineStr">
        <is>
          <t>臺中市馬鳴國小114年5月教師公假排代 日薪代課 印領清冊</t>
        </is>
      </c>
      <c r="B1" s="187" t="n"/>
      <c r="C1" s="187" t="n"/>
      <c r="D1" s="187" t="n"/>
      <c r="E1" s="187" t="n"/>
      <c r="F1" s="187" t="n"/>
      <c r="G1" s="187" t="n"/>
      <c r="H1" s="187" t="n"/>
      <c r="I1" s="187" t="n"/>
      <c r="J1" s="187" t="n"/>
      <c r="K1" s="187" t="n"/>
      <c r="L1" s="187" t="n"/>
      <c r="M1" s="187" t="n"/>
      <c r="N1" s="187" t="n"/>
    </row>
    <row r="2">
      <c r="A2" s="193" t="inlineStr">
        <is>
          <t>姓名</t>
        </is>
      </c>
      <c r="B2" s="178" t="inlineStr">
        <is>
          <t>日</t>
        </is>
      </c>
      <c r="C2" s="178" t="inlineStr">
        <is>
          <t>日薪
薪資
(每天)</t>
        </is>
      </c>
      <c r="D2" s="178" t="inlineStr">
        <is>
          <t>應領
薪額</t>
        </is>
      </c>
      <c r="E2" s="174" t="inlineStr">
        <is>
          <t>(學校)政府負擔部份</t>
        </is>
      </c>
      <c r="F2" s="194" t="n"/>
      <c r="G2" s="194" t="n"/>
      <c r="H2" s="194" t="n"/>
      <c r="I2" s="195" t="inlineStr">
        <is>
          <t>應領總計(政府補助金額)</t>
        </is>
      </c>
      <c r="J2" s="174" t="inlineStr">
        <is>
          <t>自付額</t>
        </is>
      </c>
      <c r="K2" s="194" t="n"/>
      <c r="L2" s="194" t="n"/>
      <c r="M2" s="178" t="inlineStr">
        <is>
          <t>實領
薪資</t>
        </is>
      </c>
      <c r="N2" s="196" t="inlineStr">
        <is>
          <t>備註</t>
        </is>
      </c>
    </row>
    <row r="3" ht="37.8" customHeight="1" s="181">
      <c r="A3" s="184" t="n"/>
      <c r="B3" s="184" t="n"/>
      <c r="C3" s="184" t="n"/>
      <c r="D3" s="184" t="n"/>
      <c r="E3" s="98" t="inlineStr">
        <is>
          <t>勞保費</t>
        </is>
      </c>
      <c r="F3" s="99" t="inlineStr">
        <is>
          <t>勞工退休金提撥</t>
        </is>
      </c>
      <c r="G3" s="99" t="inlineStr">
        <is>
          <t>健保費</t>
        </is>
      </c>
      <c r="H3" s="99" t="inlineStr">
        <is>
          <t>補充保費</t>
        </is>
      </c>
      <c r="I3" s="184" t="n"/>
      <c r="J3" s="94" t="inlineStr">
        <is>
          <t>代扣勞保費</t>
        </is>
      </c>
      <c r="K3" s="94" t="inlineStr">
        <is>
          <t>代扣健保費</t>
        </is>
      </c>
      <c r="L3" s="95" t="inlineStr">
        <is>
          <t>補充
保費</t>
        </is>
      </c>
      <c r="M3" s="184" t="n"/>
      <c r="N3" s="197" t="n"/>
    </row>
    <row r="4" ht="54.75" customHeight="1" s="181">
      <c r="A4" s="110" t="inlineStr">
        <is>
          <t>孫寧穗</t>
        </is>
      </c>
      <c r="B4" s="117" t="n">
        <v>5</v>
      </c>
      <c r="C4" s="105" t="n">
        <v>1496</v>
      </c>
      <c r="D4" s="106">
        <f>B4*C4</f>
        <v/>
      </c>
      <c r="E4" s="117" t="n">
        <v>423</v>
      </c>
      <c r="F4" s="117" t="n">
        <v>286</v>
      </c>
      <c r="G4" s="107" t="n"/>
      <c r="H4" s="198">
        <f>ROUND(D4*0.0211,0)</f>
        <v/>
      </c>
      <c r="I4" s="199">
        <f>SUM(D4:H4)</f>
        <v/>
      </c>
      <c r="J4" s="117" t="n">
        <v>119</v>
      </c>
      <c r="K4" s="117" t="n"/>
      <c r="L4" s="117" t="n"/>
      <c r="M4" s="118">
        <f>D4-J4-K4-L4</f>
        <v/>
      </c>
      <c r="N4" s="178" t="inlineStr">
        <is>
          <t>1399(日薪)+97(導師費)</t>
        </is>
      </c>
    </row>
    <row r="5" ht="45" customHeight="1" s="181">
      <c r="A5" s="110" t="n"/>
      <c r="B5" s="117" t="n"/>
      <c r="C5" s="105" t="n"/>
      <c r="D5" s="106" t="n"/>
      <c r="E5" s="111" t="n"/>
      <c r="F5" s="120" t="n">
        <v>53</v>
      </c>
      <c r="G5" s="107" t="n"/>
      <c r="H5" s="198" t="n"/>
      <c r="I5" s="199" t="n">
        <v>53</v>
      </c>
      <c r="J5" s="111" t="n"/>
      <c r="K5" s="111" t="n"/>
      <c r="L5" s="111" t="n"/>
      <c r="M5" s="118" t="n"/>
      <c r="N5" s="121" t="inlineStr">
        <is>
          <t>＊提撥勞退機關負擔53元</t>
        </is>
      </c>
    </row>
    <row r="6" ht="19.8" customHeight="1" s="181">
      <c r="A6" s="110" t="n"/>
      <c r="B6" s="117" t="n"/>
      <c r="C6" s="105" t="n"/>
      <c r="D6" s="106" t="n"/>
      <c r="E6" s="111" t="n"/>
      <c r="F6" s="111" t="n"/>
      <c r="G6" s="107" t="n"/>
      <c r="H6" s="198" t="n"/>
      <c r="I6" s="200" t="n"/>
      <c r="J6" s="111" t="n"/>
      <c r="K6" s="111" t="n"/>
      <c r="L6" s="111" t="n"/>
      <c r="M6" s="113" t="n"/>
      <c r="N6" s="96" t="n"/>
    </row>
    <row r="7" ht="19.8" customHeight="1" s="181">
      <c r="A7" s="112" t="n"/>
      <c r="B7" s="118">
        <f>SUM(B4:B6)</f>
        <v/>
      </c>
      <c r="C7" s="118" t="n"/>
      <c r="D7" s="118">
        <f>SUM(D4:D6)</f>
        <v/>
      </c>
      <c r="E7" s="118" t="n">
        <v>423</v>
      </c>
      <c r="F7" s="118" t="n">
        <v>339</v>
      </c>
      <c r="G7" s="118" t="inlineStr">
        <is>
          <t xml:space="preserve"> </t>
        </is>
      </c>
      <c r="H7" s="200">
        <f>SUM(H4:H6)</f>
        <v/>
      </c>
      <c r="I7" s="118">
        <f>SUM(D7:H7)</f>
        <v/>
      </c>
      <c r="J7" s="118" t="n">
        <v>119</v>
      </c>
      <c r="K7" s="118" t="n"/>
      <c r="L7" s="118" t="n"/>
      <c r="M7" s="118">
        <f>D7-J7-K7-L7</f>
        <v/>
      </c>
      <c r="N7" s="97" t="n"/>
    </row>
    <row r="8">
      <c r="A8" s="103" t="n"/>
      <c r="B8" s="103" t="n"/>
      <c r="C8" s="103" t="n"/>
      <c r="D8" s="103" t="n"/>
      <c r="E8" s="103" t="n"/>
      <c r="F8" s="103" t="n"/>
      <c r="G8" s="103" t="n"/>
      <c r="H8" s="201" t="n"/>
      <c r="I8" s="103" t="n"/>
      <c r="J8" s="103" t="n"/>
      <c r="K8" s="103" t="n"/>
      <c r="L8" s="103" t="n"/>
      <c r="M8" s="103" t="n"/>
      <c r="N8" s="103" t="n"/>
    </row>
    <row r="9" ht="16.95" customHeight="1" s="181"/>
    <row r="10">
      <c r="A10" s="164" t="inlineStr">
        <is>
          <t>承辦人</t>
        </is>
      </c>
      <c r="B10" s="164" t="n"/>
      <c r="C10" s="164" t="inlineStr">
        <is>
          <t>單位主管</t>
        </is>
      </c>
      <c r="D10" s="164" t="n"/>
      <c r="E10" s="164" t="inlineStr">
        <is>
          <t>出納</t>
        </is>
      </c>
      <c r="G10" s="101" t="n"/>
      <c r="H10" s="101" t="n"/>
      <c r="I10" s="101" t="inlineStr">
        <is>
          <t>會計</t>
        </is>
      </c>
      <c r="L10" s="101" t="inlineStr">
        <is>
          <t>校長</t>
        </is>
      </c>
    </row>
    <row r="11">
      <c r="A11" s="164" t="n"/>
      <c r="B11" s="164" t="n"/>
      <c r="C11" s="164" t="n"/>
      <c r="D11" s="164" t="n"/>
      <c r="E11" s="164" t="n"/>
      <c r="G11" s="165" t="n"/>
    </row>
    <row r="12">
      <c r="C12" s="21" t="inlineStr">
        <is>
          <t>人事主任</t>
        </is>
      </c>
    </row>
    <row r="15">
      <c r="A15" s="138" t="inlineStr">
        <is>
          <t>這個要發錢，所以需要出納跟會計核章</t>
        </is>
      </c>
    </row>
  </sheetData>
  <mergeCells count="13">
    <mergeCell ref="A1:N1"/>
    <mergeCell ref="J2:L2"/>
    <mergeCell ref="E10:F10"/>
    <mergeCell ref="C2:C3"/>
    <mergeCell ref="E11:F11"/>
    <mergeCell ref="M2:M3"/>
    <mergeCell ref="A2:A3"/>
    <mergeCell ref="B2:B3"/>
    <mergeCell ref="N2:N3"/>
    <mergeCell ref="D2:D3"/>
    <mergeCell ref="E2:H2"/>
    <mergeCell ref="I2:I3"/>
    <mergeCell ref="G11:I11"/>
  </mergeCells>
  <pageMargins left="0.3149606299212598" right="0.3149606299212598" top="0.5905511811023623" bottom="0.7480314960629921" header="0.3149606299212598" footer="0.3149606299212598"/>
  <pageSetup orientation="portrait" paperSize="9"/>
</worksheet>
</file>

<file path=xl/worksheets/sheet19.xml><?xml version="1.0" encoding="utf-8"?>
<worksheet xmlns="http://schemas.openxmlformats.org/spreadsheetml/2006/main">
  <sheetPr>
    <tabColor rgb="FFFF0000"/>
    <outlinePr summaryBelow="1" summaryRight="1"/>
    <pageSetUpPr/>
  </sheetPr>
  <dimension ref="A1:U27"/>
  <sheetViews>
    <sheetView topLeftCell="A10" zoomScale="130" zoomScaleNormal="130" workbookViewId="0">
      <selection activeCell="C24" sqref="C24"/>
    </sheetView>
  </sheetViews>
  <sheetFormatPr baseColWidth="8" defaultRowHeight="16.2"/>
  <cols>
    <col width="6.33203125" customWidth="1" style="181" min="2" max="2"/>
    <col width="5.6640625" customWidth="1" style="181" min="5" max="6"/>
    <col width="7" customWidth="1" style="181" min="7" max="8"/>
    <col width="7.77734375" customWidth="1" style="181" min="9" max="9"/>
    <col width="5.77734375" customWidth="1" style="181" min="10" max="10"/>
    <col width="4.6640625" customWidth="1" style="181" min="11" max="11"/>
    <col width="5.109375" customWidth="1" style="181" min="12" max="12"/>
    <col width="6.44140625" customWidth="1" style="181" min="14" max="14"/>
  </cols>
  <sheetData>
    <row r="1" ht="30" customHeight="1" s="181">
      <c r="A1" s="166" t="inlineStr">
        <is>
          <t>臺中市馬鳴國小115年6月教師 公假排代 授課節數鐘點費印領清冊</t>
        </is>
      </c>
      <c r="B1" s="187" t="n"/>
      <c r="C1" s="187" t="n"/>
      <c r="D1" s="187" t="n"/>
      <c r="E1" s="187" t="n"/>
      <c r="F1" s="187" t="n"/>
      <c r="G1" s="187" t="n"/>
      <c r="H1" s="187" t="n"/>
      <c r="I1" s="187" t="n"/>
      <c r="J1" s="187" t="n"/>
      <c r="K1" s="187" t="n"/>
      <c r="L1" s="187" t="n"/>
      <c r="M1" s="187" t="n"/>
      <c r="N1" s="187" t="n"/>
    </row>
    <row r="2">
      <c r="A2" s="193" t="inlineStr">
        <is>
          <t>姓名</t>
        </is>
      </c>
      <c r="B2" s="178" t="inlineStr">
        <is>
          <t>鐘點節數</t>
        </is>
      </c>
      <c r="C2" s="178" t="inlineStr">
        <is>
          <t>上課鐘點費(每節)</t>
        </is>
      </c>
      <c r="D2" s="178" t="inlineStr">
        <is>
          <t>應領薪額</t>
        </is>
      </c>
      <c r="E2" s="174" t="inlineStr">
        <is>
          <t>(學校)政府負擔部份</t>
        </is>
      </c>
      <c r="F2" s="194" t="n"/>
      <c r="G2" s="194" t="n"/>
      <c r="H2" s="194" t="n"/>
      <c r="I2" s="195" t="inlineStr">
        <is>
          <t>應領總計(政府補助金額)</t>
        </is>
      </c>
      <c r="J2" s="174" t="inlineStr">
        <is>
          <t>自付額</t>
        </is>
      </c>
      <c r="K2" s="194" t="n"/>
      <c r="L2" s="194" t="n"/>
      <c r="M2" s="178" t="inlineStr">
        <is>
          <t>實領薪資</t>
        </is>
      </c>
      <c r="N2" s="196" t="inlineStr">
        <is>
          <t>備註</t>
        </is>
      </c>
    </row>
    <row r="3" ht="37.8" customHeight="1" s="181">
      <c r="A3" s="184" t="n"/>
      <c r="B3" s="184" t="n"/>
      <c r="C3" s="184" t="n"/>
      <c r="D3" s="184" t="n"/>
      <c r="E3" s="98" t="inlineStr">
        <is>
          <t>勞保費</t>
        </is>
      </c>
      <c r="F3" s="99" t="inlineStr">
        <is>
          <t>勞工退休金提撥</t>
        </is>
      </c>
      <c r="G3" s="99" t="inlineStr">
        <is>
          <t>健保費</t>
        </is>
      </c>
      <c r="H3" s="99" t="inlineStr">
        <is>
          <t>補充保費</t>
        </is>
      </c>
      <c r="I3" s="184" t="n"/>
      <c r="J3" s="94" t="inlineStr">
        <is>
          <t>代扣勞保費</t>
        </is>
      </c>
      <c r="K3" s="94" t="inlineStr">
        <is>
          <t>代扣健保費</t>
        </is>
      </c>
      <c r="L3" s="95" t="inlineStr">
        <is>
          <t>補充
保費</t>
        </is>
      </c>
      <c r="M3" s="184" t="n"/>
      <c r="N3" s="197" t="n"/>
    </row>
    <row r="4" ht="19.8" customHeight="1" s="181">
      <c r="A4" s="110" t="inlineStr">
        <is>
          <t>蔡志益</t>
        </is>
      </c>
      <c r="B4" s="172" t="n">
        <v>10</v>
      </c>
      <c r="C4" s="124" t="n">
        <v>405</v>
      </c>
      <c r="D4" s="122">
        <f>B4*C4</f>
        <v/>
      </c>
      <c r="E4" s="125" t="n"/>
      <c r="F4" s="126" t="n"/>
      <c r="G4" s="126" t="n"/>
      <c r="H4" s="126">
        <f>ROUND(D4*0.0211,0)</f>
        <v/>
      </c>
      <c r="I4" s="127">
        <f>SUM(D4:H4)</f>
        <v/>
      </c>
      <c r="J4" s="128" t="n"/>
      <c r="K4" s="128" t="n"/>
      <c r="L4" s="129" t="n"/>
      <c r="M4" s="130">
        <f>D4-J4-K4-L4</f>
        <v/>
      </c>
      <c r="N4" s="131" t="inlineStr">
        <is>
          <t>身6</t>
        </is>
      </c>
      <c r="P4" s="138" t="n">
        <v>2</v>
      </c>
      <c r="Q4" s="138" t="n">
        <v>2</v>
      </c>
      <c r="R4" s="138" t="n">
        <v>3</v>
      </c>
      <c r="S4" s="138" t="n">
        <v>3</v>
      </c>
    </row>
    <row r="5" ht="19.8" customHeight="1" s="181">
      <c r="A5" s="110" t="inlineStr">
        <is>
          <t>戴綿綿</t>
        </is>
      </c>
      <c r="B5" s="172" t="n">
        <v>1</v>
      </c>
      <c r="C5" s="124" t="n">
        <v>405</v>
      </c>
      <c r="D5" s="122">
        <f>B5*C5</f>
        <v/>
      </c>
      <c r="E5" s="125" t="n"/>
      <c r="F5" s="126" t="n"/>
      <c r="G5" s="126" t="n"/>
      <c r="H5" s="126">
        <f>ROUND(D5*0.0211,0)</f>
        <v/>
      </c>
      <c r="I5" s="127">
        <f>SUM(D5:H5)</f>
        <v/>
      </c>
      <c r="J5" s="128" t="n"/>
      <c r="K5" s="128" t="n"/>
      <c r="L5" s="129" t="n"/>
      <c r="M5" s="130">
        <f>D5-J5-K5-L5</f>
        <v/>
      </c>
      <c r="N5" s="131" t="inlineStr">
        <is>
          <t>身1</t>
        </is>
      </c>
      <c r="P5" s="138" t="n"/>
      <c r="Q5" s="138" t="n"/>
      <c r="R5" s="138" t="n"/>
      <c r="S5" s="138" t="n"/>
    </row>
    <row r="6" ht="19.8" customHeight="1" s="181">
      <c r="A6" s="110" t="inlineStr">
        <is>
          <t>羅梅寧</t>
        </is>
      </c>
      <c r="B6" s="172" t="n">
        <v>8</v>
      </c>
      <c r="C6" s="124" t="n">
        <v>405</v>
      </c>
      <c r="D6" s="122">
        <f>B6*C6</f>
        <v/>
      </c>
      <c r="E6" s="125" t="n"/>
      <c r="F6" s="126" t="n"/>
      <c r="G6" s="126" t="n"/>
      <c r="H6" s="126">
        <f>ROUND(D6*0.0211,0)</f>
        <v/>
      </c>
      <c r="I6" s="127">
        <f>SUM(D6:H6)</f>
        <v/>
      </c>
      <c r="J6" s="128" t="n"/>
      <c r="K6" s="128" t="n"/>
      <c r="L6" s="129" t="n"/>
      <c r="M6" s="130">
        <f>D6-J6-K6-L6</f>
        <v/>
      </c>
      <c r="N6" s="131" t="inlineStr">
        <is>
          <t>身7</t>
        </is>
      </c>
      <c r="P6" s="138" t="n">
        <v>1</v>
      </c>
      <c r="Q6" s="138" t="n">
        <v>2</v>
      </c>
      <c r="R6" s="138" t="n">
        <v>2</v>
      </c>
      <c r="S6" s="138" t="n">
        <v>2</v>
      </c>
      <c r="T6" s="138" t="n">
        <v>1</v>
      </c>
      <c r="U6" s="138" t="n">
        <v>1</v>
      </c>
    </row>
    <row r="7" ht="19.8" customHeight="1" s="181">
      <c r="A7" s="110" t="inlineStr">
        <is>
          <t>楊文察</t>
        </is>
      </c>
      <c r="B7" s="172" t="n">
        <v>3</v>
      </c>
      <c r="C7" s="124" t="n">
        <v>405</v>
      </c>
      <c r="D7" s="122">
        <f>B7*C7</f>
        <v/>
      </c>
      <c r="E7" s="125" t="n"/>
      <c r="F7" s="126" t="n"/>
      <c r="G7" s="126" t="n"/>
      <c r="H7" s="126">
        <f>ROUND(D7*0.0211,0)</f>
        <v/>
      </c>
      <c r="I7" s="127">
        <f>SUM(D7:H7)</f>
        <v/>
      </c>
      <c r="J7" s="128" t="n"/>
      <c r="K7" s="128" t="n"/>
      <c r="L7" s="129" t="n"/>
      <c r="M7" s="130">
        <f>D7-J7-K7-L7</f>
        <v/>
      </c>
      <c r="N7" s="131" t="inlineStr">
        <is>
          <t>身3</t>
        </is>
      </c>
      <c r="P7" s="137" t="n">
        <v>1</v>
      </c>
      <c r="Q7" s="137" t="n">
        <v>2</v>
      </c>
      <c r="R7" s="138" t="n"/>
      <c r="S7" s="138" t="n"/>
    </row>
    <row r="8" ht="19.8" customHeight="1" s="181">
      <c r="A8" s="110" t="inlineStr">
        <is>
          <t>洪辰宗</t>
        </is>
      </c>
      <c r="B8" s="172" t="n">
        <v>2</v>
      </c>
      <c r="C8" s="124" t="n">
        <v>405</v>
      </c>
      <c r="D8" s="122">
        <f>B8*C8</f>
        <v/>
      </c>
      <c r="E8" s="125" t="n"/>
      <c r="F8" s="126" t="n"/>
      <c r="G8" s="126" t="n"/>
      <c r="H8" s="126">
        <f>ROUND(D8*0.0211,0)</f>
        <v/>
      </c>
      <c r="I8" s="127">
        <f>SUM(D8:H8)</f>
        <v/>
      </c>
      <c r="J8" s="128" t="n"/>
      <c r="K8" s="128" t="n"/>
      <c r="L8" s="129" t="n"/>
      <c r="M8" s="130">
        <f>D8-J8-K8-L8</f>
        <v/>
      </c>
      <c r="N8" s="131" t="inlineStr">
        <is>
          <t>身2</t>
        </is>
      </c>
      <c r="P8" s="137" t="n">
        <v>2</v>
      </c>
      <c r="Q8" s="138" t="n"/>
      <c r="R8" s="138" t="n"/>
      <c r="S8" s="138" t="n"/>
    </row>
    <row r="9" ht="19.8" customHeight="1" s="181">
      <c r="A9" s="110" t="inlineStr">
        <is>
          <t>孫寧穗</t>
        </is>
      </c>
      <c r="B9" s="172" t="n">
        <v>3</v>
      </c>
      <c r="C9" s="124" t="n">
        <v>405</v>
      </c>
      <c r="D9" s="122">
        <f>B9*C9</f>
        <v/>
      </c>
      <c r="E9" s="125" t="n"/>
      <c r="F9" s="126" t="n"/>
      <c r="G9" s="126" t="n"/>
      <c r="H9" s="126">
        <f>ROUND(D9*0.0211,0)</f>
        <v/>
      </c>
      <c r="I9" s="127">
        <f>SUM(D9:H9)</f>
        <v/>
      </c>
      <c r="J9" s="128" t="n">
        <v>1</v>
      </c>
      <c r="K9" s="128" t="n"/>
      <c r="L9" s="129" t="n"/>
      <c r="M9" s="130">
        <f>D9-J9-K9-L9</f>
        <v/>
      </c>
      <c r="N9" s="131" t="inlineStr">
        <is>
          <t>身3</t>
        </is>
      </c>
      <c r="P9" s="138" t="n"/>
      <c r="Q9" s="138" t="n"/>
      <c r="R9" s="138" t="n"/>
      <c r="S9" s="138" t="n"/>
    </row>
    <row r="10" ht="19.8" customHeight="1" s="181">
      <c r="A10" s="110" t="inlineStr">
        <is>
          <t>黃國城</t>
        </is>
      </c>
      <c r="B10" s="172" t="n">
        <v>2</v>
      </c>
      <c r="C10" s="124" t="n">
        <v>405</v>
      </c>
      <c r="D10" s="122">
        <f>B10*C10</f>
        <v/>
      </c>
      <c r="E10" s="125" t="n"/>
      <c r="F10" s="126" t="n"/>
      <c r="G10" s="126" t="n"/>
      <c r="H10" s="126">
        <f>ROUND(D10*0.0211,0)</f>
        <v/>
      </c>
      <c r="I10" s="127">
        <f>SUM(D10:H10)</f>
        <v/>
      </c>
      <c r="J10" s="128" t="n"/>
      <c r="K10" s="128" t="n"/>
      <c r="L10" s="129" t="n"/>
      <c r="M10" s="130">
        <f>D10-J10-K10-L10</f>
        <v/>
      </c>
      <c r="N10" s="131" t="n"/>
      <c r="P10" s="138" t="n"/>
      <c r="Q10" s="138" t="n"/>
      <c r="R10" s="138" t="n"/>
      <c r="S10" s="138" t="n"/>
    </row>
    <row r="11" ht="19.8" customHeight="1" s="181">
      <c r="A11" s="123" t="inlineStr">
        <is>
          <t>林桓慶</t>
        </is>
      </c>
      <c r="B11" s="172" t="n">
        <v>1</v>
      </c>
      <c r="C11" s="124" t="n">
        <v>405</v>
      </c>
      <c r="D11" s="122">
        <f>B11*C11</f>
        <v/>
      </c>
      <c r="E11" s="125" t="n"/>
      <c r="F11" s="126" t="n"/>
      <c r="G11" s="126" t="n"/>
      <c r="H11" s="126">
        <f>ROUND(D11*0.0211,0)</f>
        <v/>
      </c>
      <c r="I11" s="127">
        <f>SUM(D11:H11)</f>
        <v/>
      </c>
      <c r="J11" s="128" t="n"/>
      <c r="K11" s="128" t="n"/>
      <c r="L11" s="129" t="n"/>
      <c r="M11" s="130">
        <f>D11-J11-K11-L11</f>
        <v/>
      </c>
      <c r="N11" s="131" t="inlineStr">
        <is>
          <t>身1</t>
        </is>
      </c>
      <c r="P11" s="138" t="n"/>
      <c r="Q11" s="138" t="n"/>
      <c r="R11" s="138" t="n"/>
      <c r="S11" s="138" t="n"/>
    </row>
    <row r="12" ht="19.8" customHeight="1" s="181">
      <c r="A12" s="110" t="inlineStr">
        <is>
          <t>李夢欣</t>
        </is>
      </c>
      <c r="B12" s="172" t="n">
        <v>4</v>
      </c>
      <c r="C12" s="124" t="n">
        <v>405</v>
      </c>
      <c r="D12" s="122">
        <f>B12*C12</f>
        <v/>
      </c>
      <c r="E12" s="125" t="n"/>
      <c r="F12" s="126" t="n"/>
      <c r="G12" s="126" t="n"/>
      <c r="H12" s="126">
        <f>ROUND(D12*0.0211,0)</f>
        <v/>
      </c>
      <c r="I12" s="127">
        <f>SUM(D12:H12)</f>
        <v/>
      </c>
      <c r="J12" s="128" t="n"/>
      <c r="K12" s="128" t="n"/>
      <c r="L12" s="129" t="n"/>
      <c r="M12" s="130">
        <f>D12-J12-K12-L12</f>
        <v/>
      </c>
      <c r="N12" s="131" t="inlineStr">
        <is>
          <t>身4</t>
        </is>
      </c>
      <c r="P12" s="137" t="n">
        <v>1</v>
      </c>
      <c r="Q12" s="137" t="n">
        <v>1</v>
      </c>
      <c r="R12" s="137" t="n">
        <v>2</v>
      </c>
      <c r="S12" s="138" t="n"/>
    </row>
    <row r="13" ht="19.8" customHeight="1" s="181">
      <c r="A13" s="110" t="inlineStr">
        <is>
          <t>謝淑娟</t>
        </is>
      </c>
      <c r="B13" s="172" t="n">
        <v>1</v>
      </c>
      <c r="C13" s="124" t="n">
        <v>405</v>
      </c>
      <c r="D13" s="122">
        <f>B13*C13</f>
        <v/>
      </c>
      <c r="E13" s="125" t="n"/>
      <c r="F13" s="126" t="n"/>
      <c r="G13" s="126" t="n"/>
      <c r="H13" s="126">
        <f>ROUND(D13*0.0211,0)</f>
        <v/>
      </c>
      <c r="I13" s="127">
        <f>SUM(D13:H13)</f>
        <v/>
      </c>
      <c r="J13" s="128" t="n"/>
      <c r="K13" s="128" t="n"/>
      <c r="L13" s="129" t="n"/>
      <c r="M13" s="130">
        <f>D13-J13-K13-L13</f>
        <v/>
      </c>
      <c r="N13" s="131" t="inlineStr">
        <is>
          <t>身1</t>
        </is>
      </c>
      <c r="P13" s="137" t="n">
        <v>1</v>
      </c>
      <c r="Q13" s="138" t="n"/>
      <c r="R13" s="138" t="n"/>
      <c r="S13" s="138" t="n"/>
    </row>
    <row r="14" ht="19.8" customHeight="1" s="181">
      <c r="A14" s="110" t="inlineStr">
        <is>
          <t>楊硯予</t>
        </is>
      </c>
      <c r="B14" s="172" t="n">
        <v>4</v>
      </c>
      <c r="C14" s="124" t="n">
        <v>405</v>
      </c>
      <c r="D14" s="122">
        <f>B14*C14</f>
        <v/>
      </c>
      <c r="E14" s="125" t="n"/>
      <c r="F14" s="126" t="n"/>
      <c r="G14" s="126" t="n"/>
      <c r="H14" s="126">
        <f>ROUND(D14*0.0211,0)</f>
        <v/>
      </c>
      <c r="I14" s="127">
        <f>SUM(D14:H14)</f>
        <v/>
      </c>
      <c r="J14" s="128" t="n"/>
      <c r="K14" s="128" t="n"/>
      <c r="L14" s="129" t="n"/>
      <c r="M14" s="130">
        <f>D14-J14-K14-L14</f>
        <v/>
      </c>
      <c r="N14" s="131" t="inlineStr">
        <is>
          <t>身4</t>
        </is>
      </c>
      <c r="P14" s="137" t="n">
        <v>2</v>
      </c>
      <c r="Q14" s="137" t="n">
        <v>2</v>
      </c>
      <c r="R14" s="138" t="n"/>
      <c r="S14" s="138" t="n"/>
    </row>
    <row r="15" ht="19.8" customHeight="1" s="181">
      <c r="A15" s="123" t="inlineStr">
        <is>
          <t>侯駿廉</t>
        </is>
      </c>
      <c r="B15" s="172" t="n">
        <v>4</v>
      </c>
      <c r="C15" s="124" t="n">
        <v>405</v>
      </c>
      <c r="D15" s="122">
        <f>B15*C15</f>
        <v/>
      </c>
      <c r="E15" s="125" t="n"/>
      <c r="F15" s="126" t="n"/>
      <c r="G15" s="126" t="n"/>
      <c r="H15" s="126">
        <f>ROUND(D15*0.0211,0)</f>
        <v/>
      </c>
      <c r="I15" s="127">
        <f>SUM(D15:H15)</f>
        <v/>
      </c>
      <c r="J15" s="128" t="n"/>
      <c r="K15" s="128" t="n"/>
      <c r="L15" s="129" t="n"/>
      <c r="M15" s="130">
        <f>D15-J15-K15-L15</f>
        <v/>
      </c>
      <c r="N15" s="131" t="inlineStr">
        <is>
          <t>喪2身1</t>
        </is>
      </c>
      <c r="P15" s="138" t="n">
        <v>1</v>
      </c>
      <c r="Q15" s="138" t="n">
        <v>1</v>
      </c>
      <c r="R15" s="138" t="n">
        <v>2</v>
      </c>
      <c r="S15" s="138" t="n"/>
    </row>
    <row r="16" ht="19.8" customHeight="1" s="181">
      <c r="A16" s="110" t="inlineStr">
        <is>
          <t>張庭蓉</t>
        </is>
      </c>
      <c r="B16" s="172" t="n">
        <v>6</v>
      </c>
      <c r="C16" s="124" t="n">
        <v>405</v>
      </c>
      <c r="D16" s="172">
        <f>B16*C16</f>
        <v/>
      </c>
      <c r="E16" s="98" t="n"/>
      <c r="F16" s="99" t="n"/>
      <c r="G16" s="99" t="n"/>
      <c r="H16" s="99">
        <f>ROUND(D16*0.0211,0)</f>
        <v/>
      </c>
      <c r="I16" s="177">
        <f>SUM(D16:H16)</f>
        <v/>
      </c>
      <c r="J16" s="94" t="n"/>
      <c r="K16" s="94" t="n"/>
      <c r="L16" s="95" t="n"/>
      <c r="M16" s="178">
        <f>D16-J16-K16-L16</f>
        <v/>
      </c>
      <c r="N16" s="180" t="inlineStr">
        <is>
          <t>身3</t>
        </is>
      </c>
      <c r="P16" s="138" t="n"/>
      <c r="Q16" s="138" t="n"/>
      <c r="R16" s="138" t="n"/>
      <c r="S16" s="138" t="n"/>
    </row>
    <row r="17" ht="19.8" customHeight="1" s="181">
      <c r="A17" s="110" t="inlineStr">
        <is>
          <t>朱從瑞</t>
        </is>
      </c>
      <c r="B17" s="172" t="n">
        <v>1</v>
      </c>
      <c r="C17" s="124" t="n">
        <v>405</v>
      </c>
      <c r="D17" s="122">
        <f>B17*C17</f>
        <v/>
      </c>
      <c r="E17" s="125" t="n"/>
      <c r="F17" s="126" t="n"/>
      <c r="G17" s="126" t="n"/>
      <c r="H17" s="126">
        <f>ROUND(D17*0.0211,0)</f>
        <v/>
      </c>
      <c r="I17" s="127">
        <f>SUM(D17:H17)</f>
        <v/>
      </c>
      <c r="J17" s="128" t="n"/>
      <c r="K17" s="128" t="n"/>
      <c r="L17" s="129" t="n"/>
      <c r="M17" s="130">
        <f>D17-J17-K17-L17</f>
        <v/>
      </c>
      <c r="N17" s="131" t="inlineStr">
        <is>
          <t>身1</t>
        </is>
      </c>
      <c r="O17" s="138" t="n"/>
      <c r="P17" s="138" t="n"/>
      <c r="Q17" s="138" t="n"/>
      <c r="R17" s="138" t="n"/>
      <c r="S17" s="138" t="n"/>
    </row>
    <row r="18" ht="19.8" customHeight="1" s="181">
      <c r="A18" s="112" t="n"/>
      <c r="B18" s="112" t="n"/>
      <c r="C18" s="112" t="n"/>
      <c r="D18" s="112">
        <f>SUM(D4:D17)</f>
        <v/>
      </c>
      <c r="E18" s="112" t="n"/>
      <c r="F18" s="112" t="n"/>
      <c r="G18" s="112" t="inlineStr">
        <is>
          <t xml:space="preserve"> </t>
        </is>
      </c>
      <c r="H18" s="199">
        <f>SUM(H4:H17)</f>
        <v/>
      </c>
      <c r="I18" s="112">
        <f>SUM(D18:H18)</f>
        <v/>
      </c>
      <c r="J18" s="112" t="n"/>
      <c r="K18" s="112" t="n"/>
      <c r="L18" s="112" t="n"/>
      <c r="M18" s="112">
        <f>D18-J18-K18-L18</f>
        <v/>
      </c>
      <c r="N18" s="97" t="n"/>
      <c r="P18" s="138" t="n"/>
      <c r="Q18" s="138" t="n"/>
      <c r="R18" s="138" t="n"/>
      <c r="S18" s="138" t="n"/>
    </row>
    <row r="19" ht="19.8" customHeight="1" s="181">
      <c r="A19" s="100" t="n"/>
      <c r="B19" s="100" t="n"/>
      <c r="C19" s="100" t="n"/>
      <c r="D19" s="100" t="n"/>
      <c r="E19" s="100" t="n"/>
      <c r="F19" s="100" t="n"/>
      <c r="G19" s="100" t="n"/>
      <c r="H19" s="202" t="n"/>
      <c r="I19" s="100" t="n"/>
      <c r="J19" s="100" t="n"/>
      <c r="K19" s="100" t="n"/>
      <c r="L19" s="100" t="n"/>
      <c r="M19" s="100" t="n"/>
      <c r="N19" s="103" t="n"/>
    </row>
    <row r="20">
      <c r="A20" s="103" t="n"/>
      <c r="B20" s="103" t="n"/>
      <c r="C20" s="103" t="n"/>
      <c r="D20" s="103" t="n"/>
      <c r="E20" s="103" t="n"/>
      <c r="F20" s="103" t="n"/>
      <c r="G20" s="103" t="n"/>
      <c r="H20" s="201" t="n"/>
      <c r="I20" s="103" t="n"/>
      <c r="J20" s="103" t="n"/>
      <c r="K20" s="103" t="n"/>
      <c r="L20" s="103" t="n"/>
      <c r="M20" s="103" t="n"/>
      <c r="N20" s="103" t="n"/>
    </row>
    <row r="21" ht="16.95" customHeight="1" s="181"/>
    <row r="22">
      <c r="A22" s="164" t="inlineStr">
        <is>
          <t>承辦人</t>
        </is>
      </c>
      <c r="B22" s="164" t="n"/>
      <c r="C22" s="164" t="inlineStr">
        <is>
          <t>單位主管</t>
        </is>
      </c>
      <c r="D22" s="164" t="n"/>
      <c r="E22" s="164" t="inlineStr">
        <is>
          <t>出納</t>
        </is>
      </c>
      <c r="G22" s="101" t="n"/>
      <c r="H22" s="101" t="n"/>
      <c r="I22" s="101" t="inlineStr">
        <is>
          <t>會計</t>
        </is>
      </c>
      <c r="L22" s="101" t="inlineStr">
        <is>
          <t>校長</t>
        </is>
      </c>
    </row>
    <row r="23">
      <c r="A23" s="164" t="n"/>
      <c r="B23" s="164" t="n"/>
      <c r="C23" s="164" t="n"/>
      <c r="D23" s="164" t="n"/>
      <c r="E23" s="164" t="n"/>
      <c r="G23" s="165" t="n"/>
    </row>
    <row r="24">
      <c r="C24" s="21" t="inlineStr">
        <is>
          <t>人事主任</t>
        </is>
      </c>
    </row>
    <row r="27">
      <c r="A27" s="138" t="inlineStr">
        <is>
          <t>這個要發錢，所以需要出納跟會計核章</t>
        </is>
      </c>
    </row>
  </sheetData>
  <mergeCells count="13">
    <mergeCell ref="J2:L2"/>
    <mergeCell ref="C2:C3"/>
    <mergeCell ref="G23:I23"/>
    <mergeCell ref="E23:F23"/>
    <mergeCell ref="E22:F22"/>
    <mergeCell ref="A2:A3"/>
    <mergeCell ref="B2:B3"/>
    <mergeCell ref="N2:N3"/>
    <mergeCell ref="D2:D3"/>
    <mergeCell ref="M2:M3"/>
    <mergeCell ref="E2:H2"/>
    <mergeCell ref="I2:I3"/>
    <mergeCell ref="A1:N1"/>
  </mergeCells>
  <pageMargins left="0.3149606299212598" right="0.3149606299212598" top="0.3937007874015748" bottom="0.7480314960629921" header="0.3149606299212598" footer="0.3149606299212598"/>
  <pageSetup orientation="landscape" paperSize="9"/>
</worksheet>
</file>

<file path=xl/worksheets/sheet20.xml><?xml version="1.0" encoding="utf-8"?>
<worksheet xmlns="http://schemas.openxmlformats.org/spreadsheetml/2006/main">
  <sheetPr>
    <tabColor rgb="FFFF0000"/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6.2"/>
  <cols>
    <col width="6.33203125" customWidth="1" style="181" min="2" max="2"/>
    <col width="5.6640625" customWidth="1" style="181" min="5" max="6"/>
    <col width="7" customWidth="1" style="181" min="7" max="8"/>
    <col width="7.77734375" customWidth="1" style="181" min="9" max="9"/>
    <col width="5.77734375" customWidth="1" style="181" min="10" max="10"/>
    <col width="4.6640625" customWidth="1" style="181" min="11" max="11"/>
    <col width="5.109375" customWidth="1" style="181" min="12" max="12"/>
    <col width="6.44140625" customWidth="1" style="181" min="14" max="14"/>
  </cols>
  <sheetData>
    <row r="1" ht="30" customHeight="1" s="181">
      <c r="A1" s="166" t="inlineStr">
        <is>
          <t>臺中市馬鳴國小115年8月教師 公假排代 授課節數鐘點費印領清冊</t>
        </is>
      </c>
      <c r="B1" s="187" t="n"/>
      <c r="C1" s="187" t="n"/>
      <c r="D1" s="187" t="n"/>
      <c r="E1" s="187" t="n"/>
      <c r="F1" s="187" t="n"/>
      <c r="G1" s="187" t="n"/>
      <c r="H1" s="187" t="n"/>
      <c r="I1" s="187" t="n"/>
      <c r="J1" s="187" t="n"/>
      <c r="K1" s="187" t="n"/>
      <c r="L1" s="187" t="n"/>
      <c r="M1" s="187" t="n"/>
      <c r="N1" s="187" t="n"/>
    </row>
    <row r="2">
      <c r="A2" s="193" t="inlineStr">
        <is>
          <t>姓名</t>
        </is>
      </c>
      <c r="B2" s="178" t="inlineStr">
        <is>
          <t>鐘點節數</t>
        </is>
      </c>
      <c r="C2" s="178" t="inlineStr">
        <is>
          <t>上課鐘點費(每節)</t>
        </is>
      </c>
      <c r="D2" s="178" t="inlineStr">
        <is>
          <t>應領薪額</t>
        </is>
      </c>
      <c r="E2" s="174" t="inlineStr">
        <is>
          <t>(學校)政府負擔部份</t>
        </is>
      </c>
      <c r="F2" s="194" t="n"/>
      <c r="G2" s="194" t="n"/>
      <c r="H2" s="194" t="n"/>
      <c r="I2" s="195" t="inlineStr">
        <is>
          <t>應領總計(政府補助金額)</t>
        </is>
      </c>
      <c r="J2" s="174" t="inlineStr">
        <is>
          <t>自付額</t>
        </is>
      </c>
      <c r="K2" s="194" t="n"/>
      <c r="L2" s="194" t="n"/>
      <c r="M2" s="178" t="inlineStr">
        <is>
          <t>實領薪資</t>
        </is>
      </c>
      <c r="N2" s="196" t="inlineStr">
        <is>
          <t>備註</t>
        </is>
      </c>
    </row>
    <row r="3" ht="37.8" customHeight="1" s="181">
      <c r="A3" s="184" t="n"/>
      <c r="B3" s="184" t="n"/>
      <c r="C3" s="184" t="n"/>
      <c r="D3" s="184" t="n"/>
      <c r="E3" s="98" t="inlineStr">
        <is>
          <t>勞保費</t>
        </is>
      </c>
      <c r="F3" s="99" t="inlineStr">
        <is>
          <t>勞工退休金提撥</t>
        </is>
      </c>
      <c r="G3" s="99" t="inlineStr">
        <is>
          <t>健保費</t>
        </is>
      </c>
      <c r="H3" s="99" t="inlineStr">
        <is>
          <t>補充保費</t>
        </is>
      </c>
      <c r="I3" s="184" t="n"/>
      <c r="J3" s="94" t="inlineStr">
        <is>
          <t>代扣勞保費</t>
        </is>
      </c>
      <c r="K3" s="94" t="inlineStr">
        <is>
          <t>代扣健保費</t>
        </is>
      </c>
      <c r="L3" s="95" t="inlineStr">
        <is>
          <t>補充
保費</t>
        </is>
      </c>
      <c r="M3" s="184" t="n"/>
      <c r="N3" s="197" t="n"/>
    </row>
    <row r="4" ht="19.8" customHeight="1" s="181">
      <c r="A4" s="110" t="inlineStr">
        <is>
          <t>蔡11</t>
        </is>
      </c>
      <c r="B4" s="172" t="n">
        <v>6</v>
      </c>
      <c r="C4" s="124" t="n">
        <v>405</v>
      </c>
      <c r="D4" s="122">
        <f>B4*C4</f>
        <v/>
      </c>
      <c r="E4" s="125" t="n"/>
      <c r="F4" s="126" t="n"/>
      <c r="G4" s="126" t="n"/>
      <c r="H4" s="126">
        <f>ROUND(D4*0.0211,0)</f>
        <v/>
      </c>
      <c r="I4" s="127">
        <f>SUM(D4:H4)</f>
        <v/>
      </c>
      <c r="J4" s="128" t="n"/>
      <c r="K4" s="128" t="n"/>
      <c r="L4" s="129" t="n"/>
      <c r="M4" s="130">
        <f>D4-J4-K4-L4</f>
        <v/>
      </c>
      <c r="N4" s="131" t="inlineStr">
        <is>
          <t>身6</t>
        </is>
      </c>
      <c r="P4" s="138" t="n"/>
      <c r="Q4" s="138" t="n"/>
      <c r="R4" s="138" t="n"/>
      <c r="S4" s="138" t="n"/>
    </row>
    <row r="5" ht="19.8" customHeight="1" s="181">
      <c r="A5" s="110" t="n"/>
      <c r="B5" s="172" t="n"/>
      <c r="C5" s="124" t="n"/>
      <c r="D5" s="122">
        <f>B5*C5</f>
        <v/>
      </c>
      <c r="E5" s="125" t="n"/>
      <c r="F5" s="126" t="n"/>
      <c r="G5" s="126" t="n"/>
      <c r="H5" s="126">
        <f>ROUND(D5*0.0211,0)</f>
        <v/>
      </c>
      <c r="I5" s="127">
        <f>SUM(D5:H5)</f>
        <v/>
      </c>
      <c r="J5" s="128" t="n"/>
      <c r="K5" s="128" t="n"/>
      <c r="L5" s="129" t="n"/>
      <c r="M5" s="130">
        <f>D5-J5-K5-L5</f>
        <v/>
      </c>
      <c r="N5" s="131" t="n"/>
      <c r="P5" s="138" t="n"/>
      <c r="Q5" s="138" t="n"/>
      <c r="R5" s="138" t="n"/>
      <c r="S5" s="138" t="n"/>
    </row>
    <row r="6" ht="19.8" customHeight="1" s="181">
      <c r="A6" s="110" t="n"/>
      <c r="B6" s="172" t="n"/>
      <c r="C6" s="124" t="n"/>
      <c r="D6" s="122">
        <f>B6*C6</f>
        <v/>
      </c>
      <c r="E6" s="125" t="n"/>
      <c r="F6" s="126" t="n"/>
      <c r="G6" s="126" t="n"/>
      <c r="H6" s="126">
        <f>ROUND(D6*0.0211,0)</f>
        <v/>
      </c>
      <c r="I6" s="127">
        <f>SUM(D6:H6)</f>
        <v/>
      </c>
      <c r="J6" s="128" t="n"/>
      <c r="K6" s="128" t="n"/>
      <c r="L6" s="129" t="n"/>
      <c r="M6" s="130">
        <f>D6-J6-K6-L6</f>
        <v/>
      </c>
      <c r="N6" s="131" t="n"/>
      <c r="P6" s="138" t="n"/>
      <c r="Q6" s="138" t="n"/>
      <c r="R6" s="138" t="n"/>
      <c r="S6" s="138" t="n"/>
      <c r="T6" s="138" t="n"/>
      <c r="U6" s="138" t="n"/>
    </row>
    <row r="7" ht="19.8" customHeight="1" s="181">
      <c r="A7" s="110" t="n"/>
      <c r="B7" s="172" t="n"/>
      <c r="C7" s="124" t="n"/>
      <c r="D7" s="122">
        <f>B7*C7</f>
        <v/>
      </c>
      <c r="E7" s="125" t="n"/>
      <c r="F7" s="126" t="n"/>
      <c r="G7" s="126" t="n"/>
      <c r="H7" s="126">
        <f>ROUND(D7*0.0211,0)</f>
        <v/>
      </c>
      <c r="I7" s="127">
        <f>SUM(D7:H7)</f>
        <v/>
      </c>
      <c r="J7" s="128" t="n"/>
      <c r="K7" s="128" t="n"/>
      <c r="L7" s="129" t="n"/>
      <c r="M7" s="130">
        <f>D7-J7-K7-L7</f>
        <v/>
      </c>
      <c r="N7" s="131" t="n"/>
      <c r="P7" s="137" t="n"/>
      <c r="Q7" s="137" t="n"/>
      <c r="R7" s="138" t="n"/>
      <c r="S7" s="138" t="n"/>
    </row>
    <row r="8" ht="19.8" customHeight="1" s="181">
      <c r="A8" s="110" t="n"/>
      <c r="B8" s="172" t="n"/>
      <c r="C8" s="124" t="n"/>
      <c r="D8" s="122">
        <f>B8*C8</f>
        <v/>
      </c>
      <c r="E8" s="125" t="n"/>
      <c r="F8" s="126" t="n"/>
      <c r="G8" s="126" t="n"/>
      <c r="H8" s="126">
        <f>ROUND(D8*0.0211,0)</f>
        <v/>
      </c>
      <c r="I8" s="127">
        <f>SUM(D8:H8)</f>
        <v/>
      </c>
      <c r="J8" s="128" t="n"/>
      <c r="K8" s="128" t="n"/>
      <c r="L8" s="129" t="n"/>
      <c r="M8" s="130">
        <f>D8-J8-K8-L8</f>
        <v/>
      </c>
      <c r="N8" s="131" t="n"/>
      <c r="P8" s="137" t="n"/>
      <c r="Q8" s="138" t="n"/>
      <c r="R8" s="138" t="n"/>
      <c r="S8" s="138" t="n"/>
    </row>
    <row r="9" ht="19.8" customHeight="1" s="181">
      <c r="A9" s="110" t="n"/>
      <c r="B9" s="172" t="n"/>
      <c r="C9" s="124" t="n"/>
      <c r="D9" s="122">
        <f>B9*C9</f>
        <v/>
      </c>
      <c r="E9" s="125" t="n"/>
      <c r="F9" s="126" t="n"/>
      <c r="G9" s="126" t="n"/>
      <c r="H9" s="126">
        <f>ROUND(D9*0.0211,0)</f>
        <v/>
      </c>
      <c r="I9" s="127">
        <f>SUM(D9:H9)</f>
        <v/>
      </c>
      <c r="J9" s="128" t="n"/>
      <c r="K9" s="128" t="n"/>
      <c r="L9" s="129" t="n"/>
      <c r="M9" s="130">
        <f>D9-J9-K9-L9</f>
        <v/>
      </c>
      <c r="N9" s="131" t="n"/>
      <c r="P9" s="138" t="n"/>
      <c r="Q9" s="138" t="n"/>
      <c r="R9" s="138" t="n"/>
      <c r="S9" s="138" t="n"/>
    </row>
    <row r="10" ht="19.8" customHeight="1" s="181">
      <c r="A10" s="110" t="n"/>
      <c r="B10" s="172" t="n"/>
      <c r="C10" s="124" t="n"/>
      <c r="D10" s="122">
        <f>B10*C10</f>
        <v/>
      </c>
      <c r="E10" s="125" t="n"/>
      <c r="F10" s="126" t="n"/>
      <c r="G10" s="126" t="n"/>
      <c r="H10" s="126">
        <f>ROUND(D10*0.0211,0)</f>
        <v/>
      </c>
      <c r="I10" s="127">
        <f>SUM(D10:H10)</f>
        <v/>
      </c>
      <c r="J10" s="128" t="n"/>
      <c r="K10" s="128" t="n"/>
      <c r="L10" s="129" t="n"/>
      <c r="M10" s="130">
        <f>D10-J10-K10-L10</f>
        <v/>
      </c>
      <c r="N10" s="131" t="n"/>
      <c r="P10" s="138" t="n"/>
      <c r="Q10" s="138" t="n"/>
      <c r="R10" s="138" t="n"/>
      <c r="S10" s="138" t="n"/>
    </row>
    <row r="11" ht="19.8" customHeight="1" s="181">
      <c r="A11" s="123" t="n"/>
      <c r="B11" s="172" t="n"/>
      <c r="C11" s="124" t="n"/>
      <c r="D11" s="122">
        <f>B11*C11</f>
        <v/>
      </c>
      <c r="E11" s="125" t="n"/>
      <c r="F11" s="126" t="n"/>
      <c r="G11" s="126" t="n"/>
      <c r="H11" s="126">
        <f>ROUND(D11*0.0211,0)</f>
        <v/>
      </c>
      <c r="I11" s="127">
        <f>SUM(D11:H11)</f>
        <v/>
      </c>
      <c r="J11" s="128" t="n"/>
      <c r="K11" s="128" t="n"/>
      <c r="L11" s="129" t="n"/>
      <c r="M11" s="130">
        <f>D11-J11-K11-L11</f>
        <v/>
      </c>
      <c r="N11" s="131" t="n"/>
      <c r="P11" s="138" t="n"/>
      <c r="Q11" s="138" t="n"/>
      <c r="R11" s="138" t="n"/>
      <c r="S11" s="138" t="n"/>
    </row>
    <row r="12" ht="19.8" customHeight="1" s="181">
      <c r="A12" s="110" t="n"/>
      <c r="B12" s="172" t="n"/>
      <c r="C12" s="124" t="n"/>
      <c r="D12" s="122">
        <f>B12*C12</f>
        <v/>
      </c>
      <c r="E12" s="125" t="n"/>
      <c r="F12" s="126" t="n"/>
      <c r="G12" s="126" t="n"/>
      <c r="H12" s="126">
        <f>ROUND(D12*0.0211,0)</f>
        <v/>
      </c>
      <c r="I12" s="127">
        <f>SUM(D12:H12)</f>
        <v/>
      </c>
      <c r="J12" s="128" t="n"/>
      <c r="K12" s="128" t="n"/>
      <c r="L12" s="129" t="n"/>
      <c r="M12" s="130">
        <f>D12-J12-K12-L12</f>
        <v/>
      </c>
      <c r="N12" s="131" t="n"/>
      <c r="P12" s="137" t="n"/>
      <c r="Q12" s="137" t="n"/>
      <c r="R12" s="137" t="n"/>
      <c r="S12" s="138" t="n"/>
    </row>
    <row r="13" ht="19.8" customHeight="1" s="181">
      <c r="A13" s="110" t="n"/>
      <c r="B13" s="172" t="n"/>
      <c r="C13" s="124" t="n"/>
      <c r="D13" s="122">
        <f>B13*C13</f>
        <v/>
      </c>
      <c r="E13" s="125" t="n"/>
      <c r="F13" s="126" t="n"/>
      <c r="G13" s="126" t="n"/>
      <c r="H13" s="126">
        <f>ROUND(D13*0.0211,0)</f>
        <v/>
      </c>
      <c r="I13" s="127">
        <f>SUM(D13:H13)</f>
        <v/>
      </c>
      <c r="J13" s="128" t="n"/>
      <c r="K13" s="128" t="n"/>
      <c r="L13" s="129" t="n"/>
      <c r="M13" s="130">
        <f>D13-J13-K13-L13</f>
        <v/>
      </c>
      <c r="N13" s="131" t="n"/>
      <c r="P13" s="137" t="n"/>
      <c r="Q13" s="138" t="n"/>
      <c r="R13" s="138" t="n"/>
      <c r="S13" s="138" t="n"/>
    </row>
    <row r="14" ht="19.8" customHeight="1" s="181">
      <c r="A14" s="110" t="n"/>
      <c r="B14" s="172" t="n"/>
      <c r="C14" s="124" t="n"/>
      <c r="D14" s="122">
        <f>B14*C14</f>
        <v/>
      </c>
      <c r="E14" s="125" t="n"/>
      <c r="F14" s="126" t="n"/>
      <c r="G14" s="126" t="n"/>
      <c r="H14" s="126">
        <f>ROUND(D14*0.0211,0)</f>
        <v/>
      </c>
      <c r="I14" s="127">
        <f>SUM(D14:H14)</f>
        <v/>
      </c>
      <c r="J14" s="128" t="n"/>
      <c r="K14" s="128" t="n"/>
      <c r="L14" s="129" t="n"/>
      <c r="M14" s="130">
        <f>D14-J14-K14-L14</f>
        <v/>
      </c>
      <c r="N14" s="131" t="n"/>
      <c r="P14" s="137" t="n"/>
      <c r="Q14" s="137" t="n"/>
      <c r="R14" s="138" t="n"/>
      <c r="S14" s="138" t="n"/>
    </row>
    <row r="15" ht="19.8" customHeight="1" s="181">
      <c r="A15" s="123" t="n"/>
      <c r="B15" s="172" t="n"/>
      <c r="C15" s="124" t="n"/>
      <c r="D15" s="122">
        <f>B15*C15</f>
        <v/>
      </c>
      <c r="E15" s="125" t="n"/>
      <c r="F15" s="126" t="n"/>
      <c r="G15" s="126" t="n"/>
      <c r="H15" s="126">
        <f>ROUND(D15*0.0211,0)</f>
        <v/>
      </c>
      <c r="I15" s="127">
        <f>SUM(D15:H15)</f>
        <v/>
      </c>
      <c r="J15" s="128" t="n"/>
      <c r="K15" s="128" t="n"/>
      <c r="L15" s="129" t="n"/>
      <c r="M15" s="130">
        <f>D15-J15-K15-L15</f>
        <v/>
      </c>
      <c r="N15" s="131" t="n"/>
      <c r="P15" s="138" t="n"/>
      <c r="Q15" s="138" t="n"/>
      <c r="R15" s="138" t="n"/>
      <c r="S15" s="138" t="n"/>
    </row>
    <row r="16" ht="19.8" customHeight="1" s="181">
      <c r="A16" s="110" t="n"/>
      <c r="B16" s="172" t="n"/>
      <c r="C16" s="124" t="n"/>
      <c r="D16" s="172">
        <f>B16*C16</f>
        <v/>
      </c>
      <c r="E16" s="98" t="n"/>
      <c r="F16" s="99" t="n"/>
      <c r="G16" s="99" t="n"/>
      <c r="H16" s="99">
        <f>ROUND(D16*0.0211,0)</f>
        <v/>
      </c>
      <c r="I16" s="177">
        <f>SUM(D16:H16)</f>
        <v/>
      </c>
      <c r="J16" s="94" t="n"/>
      <c r="K16" s="94" t="n"/>
      <c r="L16" s="95" t="n"/>
      <c r="M16" s="178">
        <f>D16-J16-K16-L16</f>
        <v/>
      </c>
      <c r="N16" s="180" t="n"/>
      <c r="P16" s="138" t="n"/>
      <c r="Q16" s="138" t="n"/>
      <c r="R16" s="138" t="n"/>
      <c r="S16" s="138" t="n"/>
    </row>
    <row r="17" ht="19.8" customHeight="1" s="181">
      <c r="A17" s="110" t="n"/>
      <c r="B17" s="172" t="n"/>
      <c r="C17" s="124" t="n"/>
      <c r="D17" s="122">
        <f>B17*C17</f>
        <v/>
      </c>
      <c r="E17" s="125" t="n"/>
      <c r="F17" s="126" t="n"/>
      <c r="G17" s="126" t="n"/>
      <c r="H17" s="126">
        <f>ROUND(D17*0.0211,0)</f>
        <v/>
      </c>
      <c r="I17" s="127">
        <f>SUM(D17:H17)</f>
        <v/>
      </c>
      <c r="J17" s="128" t="n"/>
      <c r="K17" s="128" t="n"/>
      <c r="L17" s="129" t="n"/>
      <c r="M17" s="130">
        <f>D17-J17-K17-L17</f>
        <v/>
      </c>
      <c r="N17" s="131" t="n"/>
      <c r="O17" s="138" t="n"/>
      <c r="P17" s="138" t="n"/>
      <c r="Q17" s="138" t="n"/>
      <c r="R17" s="138" t="n"/>
      <c r="S17" s="138" t="n"/>
    </row>
    <row r="18" ht="19.8" customHeight="1" s="181">
      <c r="A18" s="112" t="n"/>
      <c r="B18" s="112" t="n"/>
      <c r="C18" s="112" t="n"/>
      <c r="D18" s="112">
        <f>SUM(D4:D17)</f>
        <v/>
      </c>
      <c r="E18" s="112" t="n"/>
      <c r="F18" s="112" t="n"/>
      <c r="G18" s="112" t="inlineStr">
        <is>
          <t xml:space="preserve"> </t>
        </is>
      </c>
      <c r="H18" s="199">
        <f>SUM(H4:H17)</f>
        <v/>
      </c>
      <c r="I18" s="112">
        <f>SUM(D18:H18)</f>
        <v/>
      </c>
      <c r="J18" s="112" t="n"/>
      <c r="K18" s="112" t="n"/>
      <c r="L18" s="112" t="n"/>
      <c r="M18" s="112">
        <f>D18-J18-K18-L18</f>
        <v/>
      </c>
      <c r="N18" s="97" t="n"/>
      <c r="P18" s="138" t="n"/>
      <c r="Q18" s="138" t="n"/>
      <c r="R18" s="138" t="n"/>
      <c r="S18" s="138" t="n"/>
    </row>
    <row r="19" ht="19.8" customHeight="1" s="181">
      <c r="A19" s="100" t="n"/>
      <c r="B19" s="100" t="n"/>
      <c r="C19" s="100" t="n"/>
      <c r="D19" s="100" t="n"/>
      <c r="E19" s="100" t="n"/>
      <c r="F19" s="100" t="n"/>
      <c r="G19" s="100" t="n"/>
      <c r="H19" s="202" t="n"/>
      <c r="I19" s="100" t="n"/>
      <c r="J19" s="100" t="n"/>
      <c r="K19" s="100" t="n"/>
      <c r="L19" s="100" t="n"/>
      <c r="M19" s="100" t="n"/>
      <c r="N19" s="103" t="n"/>
    </row>
    <row r="20">
      <c r="A20" s="103" t="n"/>
      <c r="B20" s="103" t="n"/>
      <c r="C20" s="103" t="n"/>
      <c r="D20" s="103" t="n"/>
      <c r="E20" s="103" t="n"/>
      <c r="F20" s="103" t="n"/>
      <c r="G20" s="103" t="n"/>
      <c r="H20" s="201" t="n"/>
      <c r="I20" s="103" t="n"/>
      <c r="J20" s="103" t="n"/>
      <c r="K20" s="103" t="n"/>
      <c r="L20" s="103" t="n"/>
      <c r="M20" s="103" t="n"/>
      <c r="N20" s="103" t="n"/>
    </row>
    <row r="21" ht="16.95" customHeight="1" s="181"/>
    <row r="22">
      <c r="A22" s="164" t="inlineStr">
        <is>
          <t>承辦人</t>
        </is>
      </c>
      <c r="B22" s="164" t="n"/>
      <c r="C22" s="164" t="inlineStr">
        <is>
          <t>單位主管</t>
        </is>
      </c>
      <c r="D22" s="164" t="n"/>
      <c r="E22" s="164" t="inlineStr">
        <is>
          <t>出納</t>
        </is>
      </c>
      <c r="G22" s="101" t="n"/>
      <c r="H22" s="101" t="n"/>
      <c r="I22" s="101" t="inlineStr">
        <is>
          <t>會計</t>
        </is>
      </c>
      <c r="L22" s="101" t="inlineStr">
        <is>
          <t>校長</t>
        </is>
      </c>
    </row>
    <row r="23">
      <c r="A23" s="164" t="n"/>
      <c r="B23" s="164" t="n"/>
      <c r="C23" s="164" t="n"/>
      <c r="D23" s="164" t="n"/>
      <c r="E23" s="164" t="n"/>
      <c r="G23" s="165" t="n"/>
    </row>
    <row r="24">
      <c r="C24" s="21" t="inlineStr">
        <is>
          <t>人事主任</t>
        </is>
      </c>
    </row>
    <row r="27">
      <c r="A27" s="138" t="inlineStr">
        <is>
          <t>這個要發錢，所以需要出納跟會計核章</t>
        </is>
      </c>
    </row>
  </sheetData>
  <mergeCells count="13">
    <mergeCell ref="J2:L2"/>
    <mergeCell ref="C2:C3"/>
    <mergeCell ref="G23:I23"/>
    <mergeCell ref="E23:F23"/>
    <mergeCell ref="E22:F22"/>
    <mergeCell ref="A2:A3"/>
    <mergeCell ref="B2:B3"/>
    <mergeCell ref="N2:N3"/>
    <mergeCell ref="D2:D3"/>
    <mergeCell ref="M2:M3"/>
    <mergeCell ref="E2:H2"/>
    <mergeCell ref="I2:I3"/>
    <mergeCell ref="A1:N1"/>
  </mergeCells>
  <pageMargins left="0.3149606299212598" right="0.3149606299212598" top="0.3937007874015748" bottom="0.7480314960629921" header="0.3149606299212598" footer="0.3149606299212598"/>
  <pageSetup orientation="landscape" paperSize="9"/>
</worksheet>
</file>

<file path=xl/worksheets/sheet21.xml><?xml version="1.0" encoding="utf-8"?>
<worksheet xmlns="http://schemas.openxmlformats.org/spreadsheetml/2006/main">
  <sheetPr>
    <tabColor rgb="FFFF0000"/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6.2"/>
  <cols>
    <col width="4.77734375" customWidth="1" style="181" min="2" max="2"/>
    <col width="7.109375" customWidth="1" style="181" min="3" max="3"/>
    <col width="7.6640625" customWidth="1" style="181" min="4" max="4"/>
    <col width="5.6640625" customWidth="1" style="181" min="5" max="6"/>
    <col width="7" customWidth="1" style="181" min="7" max="8"/>
    <col width="7.77734375" customWidth="1" style="181" min="9" max="9"/>
    <col width="5.77734375" customWidth="1" style="181" min="10" max="10"/>
    <col width="4.6640625" customWidth="1" style="181" min="11" max="11"/>
    <col width="5.109375" customWidth="1" style="181" min="12" max="12"/>
    <col width="7.33203125" customWidth="1" style="181" min="13" max="13"/>
    <col width="10.44140625" customWidth="1" style="181" min="14" max="14"/>
  </cols>
  <sheetData>
    <row r="1" ht="19.8" customHeight="1" s="181">
      <c r="A1" s="166" t="inlineStr">
        <is>
          <t>臺中市馬鳴國小115年8月教師公假排代 日薪代課 印領清冊</t>
        </is>
      </c>
      <c r="B1" s="187" t="n"/>
      <c r="C1" s="187" t="n"/>
      <c r="D1" s="187" t="n"/>
      <c r="E1" s="187" t="n"/>
      <c r="F1" s="187" t="n"/>
      <c r="G1" s="187" t="n"/>
      <c r="H1" s="187" t="n"/>
      <c r="I1" s="187" t="n"/>
      <c r="J1" s="187" t="n"/>
      <c r="K1" s="187" t="n"/>
      <c r="L1" s="187" t="n"/>
      <c r="M1" s="187" t="n"/>
      <c r="N1" s="187" t="n"/>
    </row>
    <row r="2">
      <c r="A2" s="193" t="inlineStr">
        <is>
          <t>姓名</t>
        </is>
      </c>
      <c r="B2" s="178" t="inlineStr">
        <is>
          <t>日</t>
        </is>
      </c>
      <c r="C2" s="178" t="inlineStr">
        <is>
          <t>日薪
薪資
(每天)</t>
        </is>
      </c>
      <c r="D2" s="178" t="inlineStr">
        <is>
          <t>應領
薪額</t>
        </is>
      </c>
      <c r="E2" s="174" t="inlineStr">
        <is>
          <t>(學校)政府負擔部份</t>
        </is>
      </c>
      <c r="F2" s="194" t="n"/>
      <c r="G2" s="194" t="n"/>
      <c r="H2" s="194" t="n"/>
      <c r="I2" s="195" t="inlineStr">
        <is>
          <t>應領總計(政府補助金額)</t>
        </is>
      </c>
      <c r="J2" s="174" t="inlineStr">
        <is>
          <t>自付額</t>
        </is>
      </c>
      <c r="K2" s="194" t="n"/>
      <c r="L2" s="194" t="n"/>
      <c r="M2" s="178" t="inlineStr">
        <is>
          <t>實領
薪資</t>
        </is>
      </c>
      <c r="N2" s="196" t="inlineStr">
        <is>
          <t>備註</t>
        </is>
      </c>
    </row>
    <row r="3" ht="37.8" customHeight="1" s="181">
      <c r="A3" s="184" t="n"/>
      <c r="B3" s="184" t="n"/>
      <c r="C3" s="184" t="n"/>
      <c r="D3" s="184" t="n"/>
      <c r="E3" s="98" t="inlineStr">
        <is>
          <t>勞保費</t>
        </is>
      </c>
      <c r="F3" s="99" t="inlineStr">
        <is>
          <t>勞工退休金提撥</t>
        </is>
      </c>
      <c r="G3" s="99" t="inlineStr">
        <is>
          <t>健保費</t>
        </is>
      </c>
      <c r="H3" s="99" t="inlineStr">
        <is>
          <t>補充保費</t>
        </is>
      </c>
      <c r="I3" s="184" t="n"/>
      <c r="J3" s="94" t="inlineStr">
        <is>
          <t>代扣勞保費</t>
        </is>
      </c>
      <c r="K3" s="94" t="inlineStr">
        <is>
          <t>代扣健保費</t>
        </is>
      </c>
      <c r="L3" s="95" t="inlineStr">
        <is>
          <t>補充
保費</t>
        </is>
      </c>
      <c r="M3" s="184" t="n"/>
      <c r="N3" s="197" t="n"/>
    </row>
    <row r="4" ht="54.75" customHeight="1" s="181">
      <c r="A4" s="110" t="inlineStr">
        <is>
          <t>蔡11</t>
        </is>
      </c>
      <c r="B4" s="117" t="n">
        <v>1</v>
      </c>
      <c r="C4" s="105" t="n">
        <v>409</v>
      </c>
      <c r="D4" s="106">
        <f>B4*C4</f>
        <v/>
      </c>
      <c r="E4" s="117" t="n"/>
      <c r="F4" s="117" t="n"/>
      <c r="G4" s="107" t="n"/>
      <c r="H4" s="198">
        <f>ROUND(D4*0.0211,0)</f>
        <v/>
      </c>
      <c r="I4" s="199">
        <f>SUM(D4:H4)</f>
        <v/>
      </c>
      <c r="J4" s="117" t="n"/>
      <c r="K4" s="117" t="n"/>
      <c r="L4" s="117" t="n"/>
      <c r="M4" s="118">
        <f>D4-J4-K4-L4</f>
        <v/>
      </c>
      <c r="N4" s="178" t="inlineStr">
        <is>
          <t>日薪代課</t>
        </is>
      </c>
    </row>
    <row r="5" ht="45" customHeight="1" s="181">
      <c r="A5" s="110" t="n"/>
      <c r="B5" s="117" t="n"/>
      <c r="C5" s="105" t="n"/>
      <c r="D5" s="106" t="n"/>
      <c r="E5" s="111" t="n"/>
      <c r="F5" s="120" t="n"/>
      <c r="G5" s="107" t="n"/>
      <c r="H5" s="198" t="n"/>
      <c r="I5" s="199" t="n">
        <v>53</v>
      </c>
      <c r="J5" s="111" t="n"/>
      <c r="K5" s="111" t="n"/>
      <c r="L5" s="111" t="n"/>
      <c r="M5" s="118" t="n"/>
      <c r="N5" s="121" t="n"/>
    </row>
    <row r="6" ht="19.8" customHeight="1" s="181">
      <c r="A6" s="110" t="n"/>
      <c r="B6" s="117" t="n"/>
      <c r="C6" s="105" t="n"/>
      <c r="D6" s="106" t="n"/>
      <c r="E6" s="111" t="n"/>
      <c r="F6" s="111" t="n"/>
      <c r="G6" s="107" t="n"/>
      <c r="H6" s="198" t="n"/>
      <c r="I6" s="200" t="n"/>
      <c r="J6" s="111" t="n"/>
      <c r="K6" s="111" t="n"/>
      <c r="L6" s="111" t="n"/>
      <c r="M6" s="113" t="n"/>
      <c r="N6" s="96" t="n"/>
    </row>
    <row r="7" ht="19.8" customHeight="1" s="181">
      <c r="A7" s="112" t="n"/>
      <c r="B7" s="118">
        <f>SUM(B4:B6)</f>
        <v/>
      </c>
      <c r="C7" s="118" t="n"/>
      <c r="D7" s="118">
        <f>SUM(D4:D6)</f>
        <v/>
      </c>
      <c r="E7" s="118" t="n">
        <v>423</v>
      </c>
      <c r="F7" s="118" t="n">
        <v>339</v>
      </c>
      <c r="G7" s="118" t="inlineStr">
        <is>
          <t xml:space="preserve"> </t>
        </is>
      </c>
      <c r="H7" s="200">
        <f>SUM(H4:H6)</f>
        <v/>
      </c>
      <c r="I7" s="118">
        <f>SUM(D7:H7)</f>
        <v/>
      </c>
      <c r="J7" s="118" t="n">
        <v>119</v>
      </c>
      <c r="K7" s="118" t="n"/>
      <c r="L7" s="118" t="n"/>
      <c r="M7" s="118">
        <f>D7-J7-K7-L7</f>
        <v/>
      </c>
      <c r="N7" s="97" t="n"/>
    </row>
    <row r="8">
      <c r="A8" s="103" t="n"/>
      <c r="B8" s="103" t="n"/>
      <c r="C8" s="103" t="n"/>
      <c r="D8" s="103" t="n"/>
      <c r="E8" s="103" t="n"/>
      <c r="F8" s="103" t="n"/>
      <c r="G8" s="103" t="n"/>
      <c r="H8" s="201" t="n"/>
      <c r="I8" s="103" t="n"/>
      <c r="J8" s="103" t="n"/>
      <c r="K8" s="103" t="n"/>
      <c r="L8" s="103" t="n"/>
      <c r="M8" s="103" t="n"/>
      <c r="N8" s="103" t="n"/>
    </row>
    <row r="9" ht="16.95" customHeight="1" s="181"/>
    <row r="10">
      <c r="A10" s="164" t="inlineStr">
        <is>
          <t>承辦人</t>
        </is>
      </c>
      <c r="B10" s="164" t="n"/>
      <c r="C10" s="164" t="inlineStr">
        <is>
          <t>單位主管</t>
        </is>
      </c>
      <c r="D10" s="164" t="n"/>
      <c r="E10" s="164" t="inlineStr">
        <is>
          <t>出納</t>
        </is>
      </c>
      <c r="G10" s="101" t="n"/>
      <c r="H10" s="101" t="n"/>
      <c r="I10" s="101" t="inlineStr">
        <is>
          <t>會計</t>
        </is>
      </c>
      <c r="L10" s="101" t="inlineStr">
        <is>
          <t>校長</t>
        </is>
      </c>
    </row>
    <row r="11">
      <c r="A11" s="164" t="n"/>
      <c r="B11" s="164" t="n"/>
      <c r="C11" s="164" t="n"/>
      <c r="D11" s="164" t="n"/>
      <c r="E11" s="164" t="n"/>
      <c r="G11" s="165" t="n"/>
    </row>
    <row r="12">
      <c r="C12" s="21" t="inlineStr">
        <is>
          <t>人事主任</t>
        </is>
      </c>
    </row>
    <row r="15">
      <c r="A15" s="138" t="inlineStr">
        <is>
          <t>這個要發錢，所以需要出納跟會計核章</t>
        </is>
      </c>
    </row>
  </sheetData>
  <mergeCells count="13">
    <mergeCell ref="A1:N1"/>
    <mergeCell ref="J2:L2"/>
    <mergeCell ref="E10:F10"/>
    <mergeCell ref="C2:C3"/>
    <mergeCell ref="E11:F11"/>
    <mergeCell ref="M2:M3"/>
    <mergeCell ref="A2:A3"/>
    <mergeCell ref="B2:B3"/>
    <mergeCell ref="N2:N3"/>
    <mergeCell ref="D2:D3"/>
    <mergeCell ref="E2:H2"/>
    <mergeCell ref="I2:I3"/>
    <mergeCell ref="G11:I11"/>
  </mergeCells>
  <pageMargins left="0.3149606299212598" right="0.3149606299212598" top="0.5905511811023623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使用者</dc:creator>
  <dcterms:created xmlns:dcterms="http://purl.org/dc/terms/" xmlns:xsi="http://www.w3.org/2001/XMLSchema-instance" xsi:type="dcterms:W3CDTF">2019-03-29T01:42:28Z</dcterms:created>
  <dcterms:modified xmlns:dcterms="http://purl.org/dc/terms/" xmlns:xsi="http://www.w3.org/2001/XMLSchema-instance" xsi:type="dcterms:W3CDTF">2026-08-19T13:18:39Z</dcterms:modified>
  <cp:lastModifiedBy>admin</cp:lastModifiedBy>
  <cp:lastPrinted>2026-07-04T05:41:24Z</cp:lastPrinted>
</cp:coreProperties>
</file>